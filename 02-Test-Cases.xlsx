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Traceability Matrix" sheetId="3" state="visible" r:id="rId5"/>
    <sheet name="Bug Log" sheetId="4" state="visible" r:id="rId6"/>
    <sheet name="Summary" sheetId="5" state="visible" r:id="rId7"/>
  </sheets>
  <definedNames>
    <definedName function="false" hidden="true" localSheetId="1" name="_xlnm._FilterDatabase" vbProcedure="false">'Test Cases'!$A$1:$L$60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<sst xmlns="http://schemas.openxmlformats.org/spreadsheetml/2006/main" count="773" uniqueCount="410">
  <si>
    <t xml:space="preserve">Test Cases - Automation Exercise (https://automationexercise.com)</t>
  </si>
  <si>
    <t xml:space="preserve">Prepared by: Piyush Singh | Environment: Google Chrome, Windows 11 | Test type: Manual functional testing</t>
  </si>
  <si>
    <t xml:space="preserve">Sheets</t>
  </si>
  <si>
    <t xml:space="preserve">Test Cases: all test cases with an ID, steps, test data, expected result, status and requirement link</t>
  </si>
  <si>
    <t xml:space="preserve">Traceability Matrix: maps every requirement to its test cases; counts update automatically from the Test Cases sheet</t>
  </si>
  <si>
    <t xml:space="preserve">Bug Log: defects found during execution (first row is only an example; replace it)</t>
  </si>
  <si>
    <t xml:space="preserve">Summary: execution totals and pass rate by module; calculated automatically by formulas</t>
  </si>
  <si>
    <t xml:space="preserve">How to execute</t>
  </si>
  <si>
    <t xml:space="preserve">1. Run each test case on the website following the Test Steps.</t>
  </si>
  <si>
    <t xml:space="preserve">2. Type what actually happened in the yellow 'Actual Result' column.</t>
  </si>
  <si>
    <t xml:space="preserve">3. Set the yellow 'Status' cell to Pass, Fail or Blocked (dropdown). All cases start as 'Not Executed'.</t>
  </si>
  <si>
    <t xml:space="preserve">4. For every Fail, add a row in the Bug Log and put a screenshot in the screenshots folder.</t>
  </si>
  <si>
    <t xml:space="preserve">5. Do not edit the formulas on the Traceability Matrix and Summary sheets.</t>
  </si>
  <si>
    <t xml:space="preserve">Notes</t>
  </si>
  <si>
    <t xml:space="preserve">Expected Results describe the correct behavior of a well built shopping site. Where the demo site behaves differently, that difference is a defect to log.</t>
  </si>
  <si>
    <t xml:space="preserve">Card details used for payment tests are dummy values for a practice site. Never use real card details.</t>
  </si>
  <si>
    <t xml:space="preserve">TC ID</t>
  </si>
  <si>
    <t xml:space="preserve">Module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</si>
  <si>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</si>
  <si>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</si>
  <si>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</si>
  <si>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</si>
  <si>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</si>
  <si>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</si>
  <si>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</si>
  <si>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</si>
  <si>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Type</t>
  </si>
  <si>
    <t xml:space="preserve">Req ID</t>
  </si>
  <si>
    <t xml:space="preserve">TC_SIGNUP_01</t>
  </si>
  <si>
    <t xml:space="preserve">Signup</t>
  </si>
  <si>
    <t xml:space="preserve">Register a new user with valid details</t>
  </si>
  <si>
    <t xml:space="preserve">User is not registered; browser on home page</t>
  </si>
  <si>
    <t xml:space="preserve">1. Open https://automationexercise.com in Chrome
2. Click "Signup / Login" in the header
3. Enter Name and a new Email under "New User Signup!"
4. Click "Signup"
5. Fill all account and address fields
6. Click "Create Account"</t>
  </si>
  <si>
    <t xml:space="preserve">Name: Test User; Email: unique email; Password: Test@1234; Address, country, state, city, zipcode, mobile: valid values</t>
  </si>
  <si>
    <t xml:space="preserve">"ACCOUNT CREATED!" page is shown; clicking Continue opens home page with "Logged in as Test User"</t>
  </si>
  <si>
    <t xml:space="preserve">Not Executed</t>
  </si>
  <si>
    <t xml:space="preserve">High</t>
  </si>
  <si>
    <t xml:space="preserve">Positive</t>
  </si>
  <si>
    <t xml:space="preserve">REQ-01</t>
  </si>
  <si>
    <t xml:space="preserve">TC_SIGNUP_02</t>
  </si>
  <si>
    <t xml:space="preserve">Signup with an already registered email</t>
  </si>
  <si>
    <t xml:space="preserve">A registered account exists</t>
  </si>
  <si>
    <t xml:space="preserve">1. Open https://automationexercise.com in Chrome
2. Click "Signup / Login" in the header
3. Enter any name and the already registered email
4. Click "Signup"</t>
  </si>
  <si>
    <t xml:space="preserve">Email: existing registered email</t>
  </si>
  <si>
    <t xml:space="preserve">Error "Email Address already exist!" is displayed; user stays on login page</t>
  </si>
  <si>
    <t xml:space="preserve">Negative</t>
  </si>
  <si>
    <t xml:space="preserve">TC_SIGNUP_03</t>
  </si>
  <si>
    <t xml:space="preserve">Signup with Name and Email both empty</t>
  </si>
  <si>
    <t xml:space="preserve">Login/Signup page is open</t>
  </si>
  <si>
    <t xml:space="preserve">1. Open https://automationexercise.com in Chrome
2. Click "Signup / Login" in the header
3. Leave Name and Email empty
4. Click "Signup"</t>
  </si>
  <si>
    <t xml:space="preserve">Name: (empty); Email: (empty)</t>
  </si>
  <si>
    <t xml:space="preserve">Form is not submitted; validation prompt "Please fill out this field" appears</t>
  </si>
  <si>
    <t xml:space="preserve">Medium</t>
  </si>
  <si>
    <t xml:space="preserve">TC_SIGNUP_04</t>
  </si>
  <si>
    <t xml:space="preserve">Signup with Name empty and valid Email</t>
  </si>
  <si>
    <t xml:space="preserve">1. Open https://automationexercise.com in Chrome
2. Click "Signup / Login" in the header
3. Leave Name empty and enter a valid new email
4. Click "Signup"</t>
  </si>
  <si>
    <t xml:space="preserve">Name: (empty); Email: valid unique email</t>
  </si>
  <si>
    <t xml:space="preserve">Form is not submitted; Name field is flagged as required</t>
  </si>
  <si>
    <t xml:space="preserve">TC_SIGNUP_05</t>
  </si>
  <si>
    <t xml:space="preserve">Signup with invalid email format</t>
  </si>
  <si>
    <t xml:space="preserve">1. Open https://automationexercise.com in Chrome
2. Click "Signup / Login" in the header
3. Enter a name and an email without '@'
4. Click "Signup"</t>
  </si>
  <si>
    <t xml:space="preserve">Email: testuser.gmail.com</t>
  </si>
  <si>
    <t xml:space="preserve">Form is not submitted; validation asks for a valid email containing '@'</t>
  </si>
  <si>
    <t xml:space="preserve">TC_SIGNUP_06</t>
  </si>
  <si>
    <t xml:space="preserve">Create account with Password left empty</t>
  </si>
  <si>
    <t xml:space="preserve">Signup step 1 completed</t>
  </si>
  <si>
    <t xml:space="preserve">1. Complete step 1 of signup with new name and email
2. Fill all fields on the account information page except Password
3. Click "Create Account"</t>
  </si>
  <si>
    <t xml:space="preserve">Password: (empty)</t>
  </si>
  <si>
    <t xml:space="preserve">Account is not created; Password field is flagged as required</t>
  </si>
  <si>
    <t xml:space="preserve">TC_SIGNUP_07</t>
  </si>
  <si>
    <t xml:space="preserve">Create account with required address fields empty</t>
  </si>
  <si>
    <t xml:space="preserve">1. Complete step 1 of signup
2. Enter password only; leave First name, Last name, Address, State, City, Zipcode, Mobile empty
3. Click "Create Account"</t>
  </si>
  <si>
    <t xml:space="preserve">All required address fields: (empty)</t>
  </si>
  <si>
    <t xml:space="preserve">Account is not created; first empty required field is flagged</t>
  </si>
  <si>
    <t xml:space="preserve">TC_SIGNUP_08</t>
  </si>
  <si>
    <t xml:space="preserve">Mobile number field with alphabetic characters</t>
  </si>
  <si>
    <t xml:space="preserve">1. Complete step 1 of signup
2. Fill all fields; enter letters in Mobile Number
3. Click "Create Account"</t>
  </si>
  <si>
    <t xml:space="preserve">Mobile Number: abcdefghij</t>
  </si>
  <si>
    <t xml:space="preserve">Invalid mobile number is rejected with a clear validation message</t>
  </si>
  <si>
    <t xml:space="preserve">Negative (Equivalence Partitioning)</t>
  </si>
  <si>
    <t xml:space="preserve">TC_SIGNUP_09</t>
  </si>
  <si>
    <t xml:space="preserve">Name field with special characters and very long text</t>
  </si>
  <si>
    <t xml:space="preserve">1. Open https://automationexercise.com in Chrome
2. Click "Signup / Login" in the header
3. Enter a name of 150+ characters containing special characters
4. Enter a valid new email
5. Click "Signup"</t>
  </si>
  <si>
    <t xml:space="preserve">Name: @#$%^&amp;*()  + 150 character string</t>
  </si>
  <si>
    <t xml:space="preserve">Application handles input gracefully: either accepts with sanitization or shows a clear validation message; no error page</t>
  </si>
  <si>
    <t xml:space="preserve">Low</t>
  </si>
  <si>
    <t xml:space="preserve">Boundary</t>
  </si>
  <si>
    <t xml:space="preserve">TC_SIGNUP_10</t>
  </si>
  <si>
    <t xml:space="preserve">Date of birth dropdowns contain valid values</t>
  </si>
  <si>
    <t xml:space="preserve">1. Complete step 1 of signup
2. Open the Day, Month and Year dropdowns</t>
  </si>
  <si>
    <t xml:space="preserve">N/A</t>
  </si>
  <si>
    <t xml:space="preserve">Day lists 1-31, Month lists all 12 months, Year lists a sensible range; selections can be made</t>
  </si>
  <si>
    <t xml:space="preserve">UI</t>
  </si>
  <si>
    <t xml:space="preserve">TC_SIGNUP_11</t>
  </si>
  <si>
    <t xml:space="preserve">Delete a registered account</t>
  </si>
  <si>
    <t xml:space="preserve">User is logged in</t>
  </si>
  <si>
    <t xml:space="preserve">1. Log in with valid credentials
2. Click "Delete Account" in the header
3. Try to log in again with the same credentials</t>
  </si>
  <si>
    <t xml:space="preserve">Credentials of the account just deleted</t>
  </si>
  <si>
    <t xml:space="preserve">"ACCOUNT DELETED!" is shown; later login attempt fails with an incorrect email or password error</t>
  </si>
  <si>
    <t xml:space="preserve">TC_LOGIN_01</t>
  </si>
  <si>
    <t xml:space="preserve">Login</t>
  </si>
  <si>
    <t xml:space="preserve">Login with valid email and password</t>
  </si>
  <si>
    <t xml:space="preserve">Registered account exists</t>
  </si>
  <si>
    <t xml:space="preserve">1. Open https://automationexercise.com in Chrome
2. Click "Signup / Login" in the header
3. Enter valid email and password under "Login to your account"
4. Click "Login"</t>
  </si>
  <si>
    <t xml:space="preserve">Valid registered email and password</t>
  </si>
  <si>
    <t xml:space="preserve">User is redirected to home page and header shows "Logged in as &lt;name&gt;"</t>
  </si>
  <si>
    <t xml:space="preserve">REQ-02</t>
  </si>
  <si>
    <t xml:space="preserve">TC_LOGIN_02</t>
  </si>
  <si>
    <t xml:space="preserve">Login with valid email and wrong password</t>
  </si>
  <si>
    <t xml:space="preserve">1. Open https://automationexercise.com in Chrome
2. Click "Signup / Login" in the header
3. Enter valid email and an incorrect password
4. Click "Login"</t>
  </si>
  <si>
    <t xml:space="preserve">Email: valid; Password: WrongPass@999</t>
  </si>
  <si>
    <t xml:space="preserve">Error "Your email or password is incorrect!" is displayed; user is not logged in</t>
  </si>
  <si>
    <t xml:space="preserve">TC_LOGIN_03</t>
  </si>
  <si>
    <t xml:space="preserve">Login with unregistered email</t>
  </si>
  <si>
    <t xml:space="preserve">Email is not registered</t>
  </si>
  <si>
    <t xml:space="preserve">1. Open https://automationexercise.com in Chrome
2. Click "Signup / Login" in the header
3. Enter an unregistered email and any password
4. Click "Login"</t>
  </si>
  <si>
    <t xml:space="preserve">Email: notregistered_9876@example.com; Password: Test@1234</t>
  </si>
  <si>
    <t xml:space="preserve">Error "Your email or password is incorrect!" is displayed</t>
  </si>
  <si>
    <t xml:space="preserve">TC_LOGIN_04</t>
  </si>
  <si>
    <t xml:space="preserve">Login with empty email</t>
  </si>
  <si>
    <t xml:space="preserve">Login page is open</t>
  </si>
  <si>
    <t xml:space="preserve">1. Open https://automationexercise.com in Chrome
2. Click "Signup / Login" in the header
3. Leave Email empty and enter a password
4. Click "Login"</t>
  </si>
  <si>
    <t xml:space="preserve">Email: (empty); Password: Test@1234</t>
  </si>
  <si>
    <t xml:space="preserve">Form is not submitted; Email field is flagged as required</t>
  </si>
  <si>
    <t xml:space="preserve">TC_LOGIN_05</t>
  </si>
  <si>
    <t xml:space="preserve">Login with empty password</t>
  </si>
  <si>
    <t xml:space="preserve">1. Open https://automationexercise.com in Chrome
2. Click "Signup / Login" in the header
3. Enter a valid email and leave Password empty
4. Click "Login"</t>
  </si>
  <si>
    <t xml:space="preserve">Email: valid; Password: (empty)</t>
  </si>
  <si>
    <t xml:space="preserve">Form is not submitted; Password field is flagged as required</t>
  </si>
  <si>
    <t xml:space="preserve">TC_LOGIN_06</t>
  </si>
  <si>
    <t xml:space="preserve">Login with invalid email format</t>
  </si>
  <si>
    <t xml:space="preserve">1. Open https://automationexercise.com in Chrome
2. Click "Signup / Login" in the header
3. Enter an email without '@' and any password
4. Click "Login"</t>
  </si>
  <si>
    <t xml:space="preserve">Form is not submitted; validation asks for a valid email</t>
  </si>
  <si>
    <t xml:space="preserve">TC_LOGIN_07</t>
  </si>
  <si>
    <t xml:space="preserve">Password is case sensitive</t>
  </si>
  <si>
    <t xml:space="preserve">Registered account exists with password Test@1234</t>
  </si>
  <si>
    <t xml:space="preserve">1. Open https://automationexercise.com in Chrome
2. Click "Signup / Login" in the header
3. Enter valid email and the password with changed letter case
4. Click "Login"</t>
  </si>
  <si>
    <t xml:space="preserve">Password: test@1234</t>
  </si>
  <si>
    <t xml:space="preserve">Login fails with an incorrect email or password error</t>
  </si>
  <si>
    <t xml:space="preserve">TC_LOGIN_08</t>
  </si>
  <si>
    <t xml:space="preserve">Login attempt with SQL injection style input</t>
  </si>
  <si>
    <t xml:space="preserve">1. Open https://automationexercise.com in Chrome
2. Click "Signup / Login" in the header
3. Enter SQL-style text in the email and password fields
4. Click "Login"</t>
  </si>
  <si>
    <t xml:space="preserve">Email: ' OR '1'='1; Password: ' OR '1'='1</t>
  </si>
  <si>
    <t xml:space="preserve">Login is rejected; no unauthorized access and no server error page</t>
  </si>
  <si>
    <t xml:space="preserve">Negative (Security)</t>
  </si>
  <si>
    <t xml:space="preserve">TC_LOGOUT_01</t>
  </si>
  <si>
    <t xml:space="preserve">Logout</t>
  </si>
  <si>
    <t xml:space="preserve">Logout from a logged-in session</t>
  </si>
  <si>
    <t xml:space="preserve">1. Log in with valid credentials
2. Click "Logout" in the header</t>
  </si>
  <si>
    <t xml:space="preserve">User is redirected to the login page; header shows "Signup / Login" instead of "Logged in as"</t>
  </si>
  <si>
    <t xml:space="preserve">REQ-03</t>
  </si>
  <si>
    <t xml:space="preserve">TC_LOGOUT_02</t>
  </si>
  <si>
    <t xml:space="preserve">Browser Back after logout does not restore session</t>
  </si>
  <si>
    <t xml:space="preserve">User has just logged out</t>
  </si>
  <si>
    <t xml:space="preserve">1. Log in, then click Logout
2. Click the browser Back button
3. Try to open Cart or Checkout</t>
  </si>
  <si>
    <t xml:space="preserve">User remains logged out; no logged-in header or account data is shown</t>
  </si>
  <si>
    <t xml:space="preserve">TC_PROD_01</t>
  </si>
  <si>
    <t xml:space="preserve">Products</t>
  </si>
  <si>
    <t xml:space="preserve">Products page lists all products</t>
  </si>
  <si>
    <t xml:space="preserve">Home page is open</t>
  </si>
  <si>
    <t xml:space="preserve">1. Open https://automationexercise.com in Chrome
2. Click "Products" in the header</t>
  </si>
  <si>
    <t xml:space="preserve">"ALL PRODUCTS" heading is shown with product cards (image, price, name, Add to cart)</t>
  </si>
  <si>
    <t xml:space="preserve">REQ-04</t>
  </si>
  <si>
    <t xml:space="preserve">TC_PROD_02</t>
  </si>
  <si>
    <t xml:space="preserve">Search with a valid product name</t>
  </si>
  <si>
    <t xml:space="preserve">Products page is open</t>
  </si>
  <si>
    <t xml:space="preserve">1. Open https://automationexercise.com in Chrome
2. Click "Products"
3. Type a product name in the search box
4. Click the search button</t>
  </si>
  <si>
    <t xml:space="preserve">Search term: Tshirt</t>
  </si>
  <si>
    <t xml:space="preserve">"SEARCHED PRODUCTS" is shown and every listed product matches the term</t>
  </si>
  <si>
    <t xml:space="preserve">TC_PROD_03</t>
  </si>
  <si>
    <t xml:space="preserve">Search with a term that matches no product</t>
  </si>
  <si>
    <t xml:space="preserve">1. Open https://automationexercise.com in Chrome
2. Click "Products"
3. Enter a nonsense search term
4. Click the search button</t>
  </si>
  <si>
    <t xml:space="preserve">Search term: xyzabc123</t>
  </si>
  <si>
    <t xml:space="preserve">No products are listed; page does not break</t>
  </si>
  <si>
    <t xml:space="preserve">TC_PROD_04</t>
  </si>
  <si>
    <t xml:space="preserve">Search with empty search box</t>
  </si>
  <si>
    <t xml:space="preserve">1. Open https://automationexercise.com in Chrome
2. Click "Products"
3. Leave the search box empty
4. Click the search button</t>
  </si>
  <si>
    <t xml:space="preserve">Search term: (empty)</t>
  </si>
  <si>
    <t xml:space="preserve">Application handles it gracefully: shows all products or stays on the page with no error</t>
  </si>
  <si>
    <t xml:space="preserve">TC_PROD_05</t>
  </si>
  <si>
    <t xml:space="preserve">Search is not case sensitive</t>
  </si>
  <si>
    <t xml:space="preserve">1. Open https://automationexercise.com in Chrome
2. Click "Products"
3. Search for the term in lower case and note results
4. Search the same term in upper case</t>
  </si>
  <si>
    <t xml:space="preserve">Search terms: tshirt and TSHIRT</t>
  </si>
  <si>
    <t xml:space="preserve">Both searches return the same set of products</t>
  </si>
  <si>
    <t xml:space="preserve">TC_PROD_06</t>
  </si>
  <si>
    <t xml:space="preserve">Filter products by category</t>
  </si>
  <si>
    <t xml:space="preserve">Home or Products page is open</t>
  </si>
  <si>
    <t xml:space="preserve">1. Open https://automationexercise.com in Chrome
2. In the left Category panel expand Women
3. Click Dress</t>
  </si>
  <si>
    <t xml:space="preserve">Category: Women &gt; Dress</t>
  </si>
  <si>
    <t xml:space="preserve">Page title shows the selected category and only products of that category are listed</t>
  </si>
  <si>
    <t xml:space="preserve">TC_PROD_07</t>
  </si>
  <si>
    <t xml:space="preserve">Filter products by brand</t>
  </si>
  <si>
    <t xml:space="preserve">1. Open https://automationexercise.com in Chrome
2. Click "Products"
3. In the Brands panel click Polo</t>
  </si>
  <si>
    <t xml:space="preserve">Brand: Polo</t>
  </si>
  <si>
    <t xml:space="preserve">Brand products heading is shown and only products of that brand are listed</t>
  </si>
  <si>
    <t xml:space="preserve">TC_PROD_08</t>
  </si>
  <si>
    <t xml:space="preserve">View product detail page</t>
  </si>
  <si>
    <t xml:space="preserve">1. Open https://automationexercise.com in Chrome
2. Click "Products"
3. Click "View Product" on the first product</t>
  </si>
  <si>
    <t xml:space="preserve">Detail page shows name, category, price, availability, condition and brand</t>
  </si>
  <si>
    <t xml:space="preserve">TC_PROD_09</t>
  </si>
  <si>
    <t xml:space="preserve">Search with special characters</t>
  </si>
  <si>
    <t xml:space="preserve">1. Open https://automationexercise.com in Chrome
2. Click "Products"
3. Enter special characters in the search box
4. Click the search button</t>
  </si>
  <si>
    <t xml:space="preserve">Search term: @#$%^&amp;*</t>
  </si>
  <si>
    <t xml:space="preserve">No error page or crash; empty result or safe handling</t>
  </si>
  <si>
    <t xml:space="preserve">TC_CART_01</t>
  </si>
  <si>
    <t xml:space="preserve">Cart</t>
  </si>
  <si>
    <t xml:space="preserve">Add a single product to cart from Products page</t>
  </si>
  <si>
    <t xml:space="preserve">1. Open https://automationexercise.com in Chrome
2. Click "Products"
3. Hover over a product and click "Add to cart"</t>
  </si>
  <si>
    <t xml:space="preserve">Any product</t>
  </si>
  <si>
    <t xml:space="preserve">Popup "Added! Your product has been added to cart." appears with Continue Shopping and View Cart options</t>
  </si>
  <si>
    <t xml:space="preserve">REQ-05</t>
  </si>
  <si>
    <t xml:space="preserve">TC_CART_02</t>
  </si>
  <si>
    <t xml:space="preserve">Add product with quantity 3 from product detail page</t>
  </si>
  <si>
    <t xml:space="preserve">Product detail page is open</t>
  </si>
  <si>
    <t xml:space="preserve">1. Open https://automationexercise.com in Chrome
2. Open any product detail page
3. Change Quantity to 3
4. Click "Add to cart"
5. Click "View Cart"</t>
  </si>
  <si>
    <t xml:space="preserve">Quantity: 3</t>
  </si>
  <si>
    <t xml:space="preserve">Cart shows quantity 3 and total equals price x 3</t>
  </si>
  <si>
    <t xml:space="preserve">TC_CART_03</t>
  </si>
  <si>
    <t xml:space="preserve">Add multiple different products to cart</t>
  </si>
  <si>
    <t xml:space="preserve">1. Open https://automationexercise.com in Chrome
2. Click "Products"
3. Add the first product then click "Continue Shopping"
4. Add the second product
5. Click "View Cart"</t>
  </si>
  <si>
    <t xml:space="preserve">Two different products</t>
  </si>
  <si>
    <t xml:space="preserve">Both products are listed in the cart with correct price, quantity 1 and total</t>
  </si>
  <si>
    <t xml:space="preserve">TC_CART_04</t>
  </si>
  <si>
    <t xml:space="preserve">Add the same product twice</t>
  </si>
  <si>
    <t xml:space="preserve">Cart is empty</t>
  </si>
  <si>
    <t xml:space="preserve">1. Open https://automationexercise.com in Chrome
2. Click "Products"
3. Add one product, click "Continue Shopping"
4. Add the same product again
5. Click "View Cart"</t>
  </si>
  <si>
    <t xml:space="preserve">Same product added twice</t>
  </si>
  <si>
    <t xml:space="preserve">Cart shows a single row with quantity 2 and the correct total</t>
  </si>
  <si>
    <t xml:space="preserve">TC_CART_05</t>
  </si>
  <si>
    <t xml:space="preserve">Remove a product from cart</t>
  </si>
  <si>
    <t xml:space="preserve">Cart has at least one product</t>
  </si>
  <si>
    <t xml:space="preserve">1. Open https://automationexercise.com in Chrome
2. Add a product to cart and open the cart
3. Click the X (delete) button on the product row</t>
  </si>
  <si>
    <t xml:space="preserve">Product is removed from the cart and the list updates</t>
  </si>
  <si>
    <t xml:space="preserve">REQ-06</t>
  </si>
  <si>
    <t xml:space="preserve">TC_CART_06</t>
  </si>
  <si>
    <t xml:space="preserve">Cart price, quantity and total calculations</t>
  </si>
  <si>
    <t xml:space="preserve">Cart has two or more products</t>
  </si>
  <si>
    <t xml:space="preserve">1. Open https://automationexercise.com in Chrome
2. Add two products with different quantities
3. Open "Cart"
4. Compare price x quantity with the Total column for each row</t>
  </si>
  <si>
    <t xml:space="preserve">Two products, quantities 2 and 3</t>
  </si>
  <si>
    <t xml:space="preserve">Each row total equals price x quantity</t>
  </si>
  <si>
    <t xml:space="preserve">TC_CART_07</t>
  </si>
  <si>
    <t xml:space="preserve">Quantity 0 on product detail page</t>
  </si>
  <si>
    <t xml:space="preserve">1. Open https://automationexercise.com in Chrome
2. Open a product detail page
3. Set Quantity to 0
4. Click "Add to cart"
5. Click "View Cart"</t>
  </si>
  <si>
    <t xml:space="preserve">Quantity: 0</t>
  </si>
  <si>
    <t xml:space="preserve">Zero quantity is rejected or corrected; cart must not contain a product with quantity 0</t>
  </si>
  <si>
    <t xml:space="preserve">TC_CART_08</t>
  </si>
  <si>
    <t xml:space="preserve">Negative quantity on product detail page</t>
  </si>
  <si>
    <t xml:space="preserve">1. Open https://automationexercise.com in Chrome
2. Open a product detail page
3. Set Quantity to -1
4. Click "Add to cart"
5. Click "View Cart"</t>
  </si>
  <si>
    <t xml:space="preserve">Quantity: -1</t>
  </si>
  <si>
    <t xml:space="preserve">Negative quantity is rejected; cart must not contain a negative quantity or negative total</t>
  </si>
  <si>
    <t xml:space="preserve">TC_CART_09</t>
  </si>
  <si>
    <t xml:space="preserve">Cart contents persist after page refresh</t>
  </si>
  <si>
    <t xml:space="preserve">1. Open https://automationexercise.com in Chrome
2. Add a product and open the cart
3. Refresh the page</t>
  </si>
  <si>
    <t xml:space="preserve">Cart items are still present after refresh</t>
  </si>
  <si>
    <t xml:space="preserve">TC_CART_10</t>
  </si>
  <si>
    <t xml:space="preserve">Empty cart message</t>
  </si>
  <si>
    <t xml:space="preserve">1. Open https://automationexercise.com in Chrome
2. Click "Cart" without adding anything</t>
  </si>
  <si>
    <t xml:space="preserve">"Cart is empty!" message with a link to browse products is shown</t>
  </si>
  <si>
    <t xml:space="preserve">TC_CHK_01</t>
  </si>
  <si>
    <t xml:space="preserve">Checkout</t>
  </si>
  <si>
    <t xml:space="preserve">Proceed to checkout without logging in</t>
  </si>
  <si>
    <t xml:space="preserve">User is logged out; cart has a product</t>
  </si>
  <si>
    <t xml:space="preserve">1. Open https://automationexercise.com in Chrome
2. Add a product and open the cart
3. Click "Proceed To Checkout"</t>
  </si>
  <si>
    <t xml:space="preserve">A popup asks the user to Register / Login to proceed; user is not taken to checkout</t>
  </si>
  <si>
    <t xml:space="preserve">REQ-07</t>
  </si>
  <si>
    <t xml:space="preserve">TC_CHK_02</t>
  </si>
  <si>
    <t xml:space="preserve">Review order and place order as logged-in user</t>
  </si>
  <si>
    <t xml:space="preserve">User is logged in; cart has products</t>
  </si>
  <si>
    <t xml:space="preserve">1. Log in
2. Add products to the cart and open the cart
3. Click "Proceed To Checkout"
4. Review address and order items
5. Enter a comment and click "Place Order"</t>
  </si>
  <si>
    <t xml:space="preserve">Comment: Please deliver in the evening</t>
  </si>
  <si>
    <t xml:space="preserve">Payment page opens</t>
  </si>
  <si>
    <t xml:space="preserve">TC_CHK_03</t>
  </si>
  <si>
    <t xml:space="preserve">Complete payment with valid card details</t>
  </si>
  <si>
    <t xml:space="preserve">User is on the payment page</t>
  </si>
  <si>
    <t xml:space="preserve">1. Complete TC_CHK_02 up to the payment page
2. Enter card details
3. Click "Pay and Confirm Order"</t>
  </si>
  <si>
    <t xml:space="preserve">Name on card: Test User; Card: 4111111111111111; CVC: 123; Expiry: 12/2030 (dummy test data)</t>
  </si>
  <si>
    <t xml:space="preserve">"Congratulations! Your order has been confirmed!" message is shown</t>
  </si>
  <si>
    <t xml:space="preserve">TC_CHK_04</t>
  </si>
  <si>
    <t xml:space="preserve">Payment with all card fields empty</t>
  </si>
  <si>
    <t xml:space="preserve">1. Reach the payment page
2. Leave all card fields empty
3. Click "Pay and Confirm Order"</t>
  </si>
  <si>
    <t xml:space="preserve">All card fields: (empty)</t>
  </si>
  <si>
    <t xml:space="preserve">Payment is not processed; required fields are flagged</t>
  </si>
  <si>
    <t xml:space="preserve">TC_CHK_05</t>
  </si>
  <si>
    <t xml:space="preserve">Payment with letters in card number</t>
  </si>
  <si>
    <t xml:space="preserve">1. Reach the payment page
2. Enter letters in the Card Number field and valid values elsewhere
3. Click "Pay and Confirm Order"</t>
  </si>
  <si>
    <t xml:space="preserve">Card Number: abcdabcdabcdabcd</t>
  </si>
  <si>
    <t xml:space="preserve">Invalid card number is rejected with a validation message</t>
  </si>
  <si>
    <t xml:space="preserve">TC_CHK_06</t>
  </si>
  <si>
    <t xml:space="preserve">Payment with an expired card date</t>
  </si>
  <si>
    <t xml:space="preserve">1. Reach the payment page
2. Enter a valid card number and an expiry date in the past
3. Click "Pay and Confirm Order"</t>
  </si>
  <si>
    <t xml:space="preserve">Expiry: 01/2020</t>
  </si>
  <si>
    <t xml:space="preserve">Expired card is rejected with a clear message</t>
  </si>
  <si>
    <t xml:space="preserve">Negative (Boundary)</t>
  </si>
  <si>
    <t xml:space="preserve">TC_CHK_07</t>
  </si>
  <si>
    <t xml:space="preserve">Delivery and billing address match the registered address</t>
  </si>
  <si>
    <t xml:space="preserve">1. Log in with an account that has a saved address
2. Proceed to checkout
3. Compare the Delivery and Billing addresses with the account address</t>
  </si>
  <si>
    <t xml:space="preserve">Registered address of the test account</t>
  </si>
  <si>
    <t xml:space="preserve">Both addresses match the details entered at signup</t>
  </si>
  <si>
    <t xml:space="preserve">TC_CHK_08</t>
  </si>
  <si>
    <t xml:space="preserve">Order total equals the sum of items</t>
  </si>
  <si>
    <t xml:space="preserve">User is on the checkout review page</t>
  </si>
  <si>
    <t xml:space="preserve">1. Add products with different prices and quantities
2. Click "Proceed To Checkout"
3. Add up each item total and compare with the Total Amount</t>
  </si>
  <si>
    <t xml:space="preserve">Two or more products</t>
  </si>
  <si>
    <t xml:space="preserve">Total Amount equals the sum of all item totals</t>
  </si>
  <si>
    <t xml:space="preserve">TC_CHK_09</t>
  </si>
  <si>
    <t xml:space="preserve">Download invoice after order confirmation</t>
  </si>
  <si>
    <t xml:space="preserve">Order has been placed successfully</t>
  </si>
  <si>
    <t xml:space="preserve">1. Complete TC_CHK_03
2. Click "Download Invoice"</t>
  </si>
  <si>
    <t xml:space="preserve">An invoice file is downloaded</t>
  </si>
  <si>
    <t xml:space="preserve">TC_CONT_01</t>
  </si>
  <si>
    <t xml:space="preserve">Contact Us</t>
  </si>
  <si>
    <t xml:space="preserve">Submit Contact Us form with valid data</t>
  </si>
  <si>
    <t xml:space="preserve">Contact Us page is open</t>
  </si>
  <si>
    <t xml:space="preserve">1. Open https://automationexercise.com in Chrome
2. Click "Contact us"
3. Fill Name, Email, Subject and Message
4. Click "Submit"
5. Click OK on the browser popup</t>
  </si>
  <si>
    <t xml:space="preserve">Name: Test User; Email: valid; Subject: Query; Message: Test message</t>
  </si>
  <si>
    <t xml:space="preserve">Success message "Success! Your details have been submitted successfully." is shown</t>
  </si>
  <si>
    <t xml:space="preserve">REQ-08</t>
  </si>
  <si>
    <t xml:space="preserve">TC_CONT_02</t>
  </si>
  <si>
    <t xml:space="preserve">Submit Contact Us form with all fields empty</t>
  </si>
  <si>
    <t xml:space="preserve">1. Open https://automationexercise.com in Chrome
2. Click "Contact us"
3. Click "Submit" without entering data</t>
  </si>
  <si>
    <t xml:space="preserve">All fields: (empty)</t>
  </si>
  <si>
    <t xml:space="preserve">Form is not submitted; required field validation appears</t>
  </si>
  <si>
    <t xml:space="preserve">TC_CONT_03</t>
  </si>
  <si>
    <t xml:space="preserve">Contact form with invalid email</t>
  </si>
  <si>
    <t xml:space="preserve">1. Open https://automationexercise.com in Chrome
2. Click "Contact us"
3. Fill all fields with an invalid email
4. Click "Submit"</t>
  </si>
  <si>
    <t xml:space="preserve">TC_CONT_04</t>
  </si>
  <si>
    <t xml:space="preserve">Contact form with a valid file attached</t>
  </si>
  <si>
    <t xml:space="preserve">1. Open https://automationexercise.com in Chrome
2. Click "Contact us"
3. Fill all fields
4. Attach a small .txt or .jpg file
5. Click "Submit"</t>
  </si>
  <si>
    <t xml:space="preserve">File: sample.txt (under 1 MB)</t>
  </si>
  <si>
    <t xml:space="preserve">Form is submitted successfully with the success message</t>
  </si>
  <si>
    <t xml:space="preserve">TC_CONT_05</t>
  </si>
  <si>
    <t xml:space="preserve">Contact form with a very large or unusual file type</t>
  </si>
  <si>
    <t xml:space="preserve">1. Open https://automationexercise.com in Chrome
2. Click "Contact us"
3. Fill all fields
4. Attach a large file or an .exe file
5. Click "Submit"</t>
  </si>
  <si>
    <t xml:space="preserve">File: 20 MB file or sample.exe</t>
  </si>
  <si>
    <t xml:space="preserve">Unsupported or oversized file is rejected with a clear message</t>
  </si>
  <si>
    <t xml:space="preserve">TC_CONT_06</t>
  </si>
  <si>
    <t xml:space="preserve">Home button after successful submission</t>
  </si>
  <si>
    <t xml:space="preserve">Contact form was submitted successfully</t>
  </si>
  <si>
    <t xml:space="preserve">1. Complete TC_CONT_01
2. Click the "Home" button on the success page</t>
  </si>
  <si>
    <t xml:space="preserve">User is taken to the home page</t>
  </si>
  <si>
    <t xml:space="preserve">TC_SUB_01</t>
  </si>
  <si>
    <t xml:space="preserve">Subscription</t>
  </si>
  <si>
    <t xml:space="preserve">Subscribe with a valid email from home page footer</t>
  </si>
  <si>
    <t xml:space="preserve">1. Open https://automationexercise.com in Chrome
2. Scroll to the footer
3. Enter a valid email in the Subscription box
4. Click the arrow button</t>
  </si>
  <si>
    <t xml:space="preserve">Email: valid email address</t>
  </si>
  <si>
    <t xml:space="preserve">Message "You have been successfully subscribed!" is shown</t>
  </si>
  <si>
    <t xml:space="preserve">REQ-09</t>
  </si>
  <si>
    <t xml:space="preserve">TC_SUB_02</t>
  </si>
  <si>
    <t xml:space="preserve">Subscribe with an empty email</t>
  </si>
  <si>
    <t xml:space="preserve">1. Open https://automationexercise.com in Chrome
2. Scroll to the footer
3. Leave the email empty
4. Click the arrow button</t>
  </si>
  <si>
    <t xml:space="preserve">Email: (empty)</t>
  </si>
  <si>
    <t xml:space="preserve">No subscription; required field validation appears</t>
  </si>
  <si>
    <t xml:space="preserve">TC_SUB_03</t>
  </si>
  <si>
    <t xml:space="preserve">Subscribe with an invalid email</t>
  </si>
  <si>
    <t xml:space="preserve">1. Open https://automationexercise.com in Chrome
2. Scroll to the footer
3. Enter an email without '@'
4. Click the arrow button</t>
  </si>
  <si>
    <t xml:space="preserve">No subscription; validation asks for a valid email</t>
  </si>
  <si>
    <t xml:space="preserve">TC_SUB_04</t>
  </si>
  <si>
    <t xml:space="preserve">Subscribe from the Cart page footer</t>
  </si>
  <si>
    <t xml:space="preserve">Cart page is open</t>
  </si>
  <si>
    <t xml:space="preserve">1. Open https://automationexercise.com in Chrome
2. Click "Cart"
3. Scroll to the footer
4. Enter a valid email and click the arrow button</t>
  </si>
  <si>
    <t xml:space="preserve">Requirement</t>
  </si>
  <si>
    <t xml:space="preserve">Test Cases</t>
  </si>
  <si>
    <t xml:space="preserve">Test Case IDs</t>
  </si>
  <si>
    <t xml:space="preserve">Passed</t>
  </si>
  <si>
    <t xml:space="preserve">Failed</t>
  </si>
  <si>
    <t xml:space="preserve">Coverage</t>
  </si>
  <si>
    <t xml:space="preserve">User registration and account management</t>
  </si>
  <si>
    <t xml:space="preserve">TC_SIGNUP_01, TC_SIGNUP_02, TC_SIGNUP_03, TC_SIGNUP_04, TC_SIGNUP_05, TC_SIGNUP_06, TC_SIGNUP_07, TC_SIGNUP_08, TC_SIGNUP_09, TC_SIGNUP_10, TC_SIGNUP_11</t>
  </si>
  <si>
    <t xml:space="preserve">User login</t>
  </si>
  <si>
    <t xml:space="preserve">TC_LOGIN_01, TC_LOGIN_02, TC_LOGIN_03, TC_LOGIN_04, TC_LOGIN_05, TC_LOGIN_06, TC_LOGIN_07, TC_LOGIN_08</t>
  </si>
  <si>
    <t xml:space="preserve">User logout</t>
  </si>
  <si>
    <t xml:space="preserve">TC_LOGOUT_01, TC_LOGOUT_02</t>
  </si>
  <si>
    <t xml:space="preserve">Product listing, search, filter and details</t>
  </si>
  <si>
    <t xml:space="preserve">TC_PROD_01, TC_PROD_02, TC_PROD_03, TC_PROD_04, TC_PROD_05, TC_PROD_06, TC_PROD_07, TC_PROD_08, TC_PROD_09</t>
  </si>
  <si>
    <t xml:space="preserve">Add products to cart</t>
  </si>
  <si>
    <t xml:space="preserve">TC_CART_01, TC_CART_02, TC_CART_03, TC_CART_04</t>
  </si>
  <si>
    <t xml:space="preserve">Cart management and calculations</t>
  </si>
  <si>
    <t xml:space="preserve">TC_CART_05, TC_CART_06, TC_CART_07, TC_CART_08, TC_CART_09, TC_CART_10</t>
  </si>
  <si>
    <t xml:space="preserve">Checkout and payment</t>
  </si>
  <si>
    <t xml:space="preserve">TC_CHK_01, TC_CHK_02, TC_CHK_03, TC_CHK_04, TC_CHK_05, TC_CHK_06, TC_CHK_07, TC_CHK_08, TC_CHK_09</t>
  </si>
  <si>
    <t xml:space="preserve">Contact Us form</t>
  </si>
  <si>
    <t xml:space="preserve">TC_CONT_01, TC_CONT_02, TC_CONT_03, TC_CONT_04, TC_CONT_05, TC_CONT_06</t>
  </si>
  <si>
    <t xml:space="preserve">Newsletter subscription</t>
  </si>
  <si>
    <t xml:space="preserve">TC_SUB_01, TC_SUB_02, TC_SUB_03, TC_SUB_04</t>
  </si>
  <si>
    <t xml:space="preserve">Bug ID</t>
  </si>
  <si>
    <t xml:space="preserve">Title</t>
  </si>
  <si>
    <t xml:space="preserve">Related TC ID</t>
  </si>
  <si>
    <t xml:space="preserve">Severity</t>
  </si>
  <si>
    <t xml:space="preserve">Environment</t>
  </si>
  <si>
    <t xml:space="preserve">Steps to Reproduce</t>
  </si>
  <si>
    <t xml:space="preserve">Date Reported</t>
  </si>
  <si>
    <t xml:space="preserve">Screenshot</t>
  </si>
  <si>
    <t xml:space="preserve">EXAMPLE-DELETE</t>
  </si>
  <si>
    <t xml:space="preserve">Example: Mobile number field accepts letters during signup</t>
  </si>
  <si>
    <t xml:space="preserve">Minor</t>
  </si>
  <si>
    <t xml:space="preserve">Chrome, Windows 11</t>
  </si>
  <si>
    <t xml:space="preserve">1. Start signup 2. Enter letters in Mobile Number 3. Click Create Account</t>
  </si>
  <si>
    <t xml:space="preserve">Invalid mobile number is rejected</t>
  </si>
  <si>
    <t xml:space="preserve">Account is created with letters in the mobile field (EXAMPLE ONLY, replace with a real finding)</t>
  </si>
  <si>
    <t xml:space="preserve">Open</t>
  </si>
  <si>
    <t xml:space="preserve">29-10-2026</t>
  </si>
  <si>
    <t xml:space="preserve">screenshots/BUG-001.png</t>
  </si>
  <si>
    <t xml:space="preserve">Test Execution Summary</t>
  </si>
  <si>
    <t xml:space="preserve">Metric</t>
  </si>
  <si>
    <t xml:space="preserve">Value</t>
  </si>
  <si>
    <t xml:space="preserve">Total test cases</t>
  </si>
  <si>
    <t xml:space="preserve">Blocked</t>
  </si>
  <si>
    <t xml:space="preserve">Executed (%)</t>
  </si>
  <si>
    <t xml:space="preserve">Pass rate of executed (%)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</si>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</sst>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46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 customFormat="false" ht="68.6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6"/>
      <c r="I2" s="6" t="s">
        <v>35</v>
      </c>
      <c r="J2" s="5" t="s">
        <v>36</v>
      </c>
      <c r="K2" s="5" t="s">
        <v>37</v>
      </c>
      <c r="L2" s="5" t="s">
        <v>38</v>
      </c>
    </row>
    <row r="3" customFormat="false" ht="46.25" hidden="false" customHeight="false" outlineLevel="0" collapsed="false">
      <c r="A3" s="5" t="s">
        <v>39</v>
      </c>
      <c r="B3" s="5" t="s">
        <v>29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6"/>
      <c r="I3" s="6" t="s">
        <v>35</v>
      </c>
      <c r="J3" s="5" t="s">
        <v>36</v>
      </c>
      <c r="K3" s="5" t="s">
        <v>45</v>
      </c>
      <c r="L3" s="5" t="s">
        <v>38</v>
      </c>
    </row>
    <row r="4" customFormat="false" ht="46.25" hidden="false" customHeight="false" outlineLevel="0" collapsed="false">
      <c r="A4" s="5" t="s">
        <v>46</v>
      </c>
      <c r="B4" s="5" t="s">
        <v>29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6"/>
      <c r="I4" s="6" t="s">
        <v>35</v>
      </c>
      <c r="J4" s="5" t="s">
        <v>52</v>
      </c>
      <c r="K4" s="5" t="s">
        <v>45</v>
      </c>
      <c r="L4" s="5" t="s">
        <v>38</v>
      </c>
    </row>
    <row r="5" customFormat="false" ht="46.25" hidden="false" customHeight="false" outlineLevel="0" collapsed="false">
      <c r="A5" s="5" t="s">
        <v>53</v>
      </c>
      <c r="B5" s="5" t="s">
        <v>29</v>
      </c>
      <c r="C5" s="5" t="s">
        <v>54</v>
      </c>
      <c r="D5" s="5" t="s">
        <v>48</v>
      </c>
      <c r="E5" s="5" t="s">
        <v>55</v>
      </c>
      <c r="F5" s="5" t="s">
        <v>56</v>
      </c>
      <c r="G5" s="5" t="s">
        <v>57</v>
      </c>
      <c r="H5" s="6"/>
      <c r="I5" s="6" t="s">
        <v>35</v>
      </c>
      <c r="J5" s="5" t="s">
        <v>52</v>
      </c>
      <c r="K5" s="5" t="s">
        <v>45</v>
      </c>
      <c r="L5" s="5" t="s">
        <v>38</v>
      </c>
    </row>
    <row r="6" customFormat="false" ht="46.25" hidden="false" customHeight="false" outlineLevel="0" collapsed="false">
      <c r="A6" s="5" t="s">
        <v>58</v>
      </c>
      <c r="B6" s="5" t="s">
        <v>29</v>
      </c>
      <c r="C6" s="5" t="s">
        <v>59</v>
      </c>
      <c r="D6" s="5" t="s">
        <v>48</v>
      </c>
      <c r="E6" s="5" t="s">
        <v>60</v>
      </c>
      <c r="F6" s="5" t="s">
        <v>61</v>
      </c>
      <c r="G6" s="5" t="s">
        <v>62</v>
      </c>
      <c r="H6" s="6"/>
      <c r="I6" s="6" t="s">
        <v>35</v>
      </c>
      <c r="J6" s="5" t="s">
        <v>52</v>
      </c>
      <c r="K6" s="5" t="s">
        <v>45</v>
      </c>
      <c r="L6" s="5" t="s">
        <v>38</v>
      </c>
    </row>
    <row r="7" customFormat="false" ht="46.25" hidden="false" customHeight="false" outlineLevel="0" collapsed="false">
      <c r="A7" s="5" t="s">
        <v>63</v>
      </c>
      <c r="B7" s="5" t="s">
        <v>29</v>
      </c>
      <c r="C7" s="5" t="s">
        <v>64</v>
      </c>
      <c r="D7" s="5" t="s">
        <v>65</v>
      </c>
      <c r="E7" s="5" t="s">
        <v>66</v>
      </c>
      <c r="F7" s="5" t="s">
        <v>67</v>
      </c>
      <c r="G7" s="5" t="s">
        <v>68</v>
      </c>
      <c r="H7" s="6"/>
      <c r="I7" s="6" t="s">
        <v>35</v>
      </c>
      <c r="J7" s="5" t="s">
        <v>36</v>
      </c>
      <c r="K7" s="5" t="s">
        <v>45</v>
      </c>
      <c r="L7" s="5" t="s">
        <v>38</v>
      </c>
    </row>
    <row r="8" customFormat="false" ht="46.25" hidden="false" customHeight="false" outlineLevel="0" collapsed="false">
      <c r="A8" s="5" t="s">
        <v>69</v>
      </c>
      <c r="B8" s="5" t="s">
        <v>29</v>
      </c>
      <c r="C8" s="5" t="s">
        <v>70</v>
      </c>
      <c r="D8" s="5" t="s">
        <v>65</v>
      </c>
      <c r="E8" s="5" t="s">
        <v>71</v>
      </c>
      <c r="F8" s="5" t="s">
        <v>72</v>
      </c>
      <c r="G8" s="5" t="s">
        <v>73</v>
      </c>
      <c r="H8" s="6"/>
      <c r="I8" s="6" t="s">
        <v>35</v>
      </c>
      <c r="J8" s="5" t="s">
        <v>52</v>
      </c>
      <c r="K8" s="5" t="s">
        <v>45</v>
      </c>
      <c r="L8" s="5" t="s">
        <v>38</v>
      </c>
    </row>
    <row r="9" customFormat="false" ht="35.05" hidden="false" customHeight="false" outlineLevel="0" collapsed="false">
      <c r="A9" s="5" t="s">
        <v>74</v>
      </c>
      <c r="B9" s="5" t="s">
        <v>29</v>
      </c>
      <c r="C9" s="5" t="s">
        <v>75</v>
      </c>
      <c r="D9" s="5" t="s">
        <v>65</v>
      </c>
      <c r="E9" s="5" t="s">
        <v>76</v>
      </c>
      <c r="F9" s="5" t="s">
        <v>77</v>
      </c>
      <c r="G9" s="5" t="s">
        <v>78</v>
      </c>
      <c r="H9" s="6"/>
      <c r="I9" s="6" t="s">
        <v>35</v>
      </c>
      <c r="J9" s="5" t="s">
        <v>52</v>
      </c>
      <c r="K9" s="5" t="s">
        <v>79</v>
      </c>
      <c r="L9" s="5" t="s">
        <v>38</v>
      </c>
    </row>
    <row r="10" customFormat="false" ht="68.65" hidden="false" customHeight="false" outlineLevel="0" collapsed="false">
      <c r="A10" s="5" t="s">
        <v>80</v>
      </c>
      <c r="B10" s="5" t="s">
        <v>29</v>
      </c>
      <c r="C10" s="5" t="s">
        <v>81</v>
      </c>
      <c r="D10" s="5" t="s">
        <v>48</v>
      </c>
      <c r="E10" s="5" t="s">
        <v>82</v>
      </c>
      <c r="F10" s="5" t="s">
        <v>83</v>
      </c>
      <c r="G10" s="5" t="s">
        <v>84</v>
      </c>
      <c r="H10" s="6"/>
      <c r="I10" s="6" t="s">
        <v>35</v>
      </c>
      <c r="J10" s="5" t="s">
        <v>85</v>
      </c>
      <c r="K10" s="5" t="s">
        <v>86</v>
      </c>
      <c r="L10" s="5" t="s">
        <v>38</v>
      </c>
    </row>
    <row r="11" customFormat="false" ht="23.85" hidden="false" customHeight="false" outlineLevel="0" collapsed="false">
      <c r="A11" s="5" t="s">
        <v>87</v>
      </c>
      <c r="B11" s="5" t="s">
        <v>29</v>
      </c>
      <c r="C11" s="5" t="s">
        <v>88</v>
      </c>
      <c r="D11" s="5" t="s">
        <v>65</v>
      </c>
      <c r="E11" s="5" t="s">
        <v>89</v>
      </c>
      <c r="F11" s="5" t="s">
        <v>90</v>
      </c>
      <c r="G11" s="5" t="s">
        <v>91</v>
      </c>
      <c r="H11" s="6"/>
      <c r="I11" s="6" t="s">
        <v>35</v>
      </c>
      <c r="J11" s="5" t="s">
        <v>85</v>
      </c>
      <c r="K11" s="5" t="s">
        <v>92</v>
      </c>
      <c r="L11" s="5" t="s">
        <v>38</v>
      </c>
    </row>
    <row r="12" customFormat="false" ht="35.05" hidden="false" customHeight="false" outlineLevel="0" collapsed="false">
      <c r="A12" s="5" t="s">
        <v>93</v>
      </c>
      <c r="B12" s="5" t="s">
        <v>29</v>
      </c>
      <c r="C12" s="5" t="s">
        <v>94</v>
      </c>
      <c r="D12" s="5" t="s">
        <v>95</v>
      </c>
      <c r="E12" s="5" t="s">
        <v>96</v>
      </c>
      <c r="F12" s="5" t="s">
        <v>97</v>
      </c>
      <c r="G12" s="5" t="s">
        <v>98</v>
      </c>
      <c r="H12" s="6"/>
      <c r="I12" s="6" t="s">
        <v>35</v>
      </c>
      <c r="J12" s="5" t="s">
        <v>52</v>
      </c>
      <c r="K12" s="5" t="s">
        <v>37</v>
      </c>
      <c r="L12" s="5" t="s">
        <v>38</v>
      </c>
    </row>
    <row r="13" customFormat="false" ht="46.25" hidden="false" customHeight="false" outlineLevel="0" collapsed="false">
      <c r="A13" s="5" t="s">
        <v>99</v>
      </c>
      <c r="B13" s="5" t="s">
        <v>100</v>
      </c>
      <c r="C13" s="5" t="s">
        <v>101</v>
      </c>
      <c r="D13" s="5" t="s">
        <v>102</v>
      </c>
      <c r="E13" s="5" t="s">
        <v>103</v>
      </c>
      <c r="F13" s="5" t="s">
        <v>104</v>
      </c>
      <c r="G13" s="5" t="s">
        <v>105</v>
      </c>
      <c r="H13" s="6"/>
      <c r="I13" s="6" t="s">
        <v>35</v>
      </c>
      <c r="J13" s="5" t="s">
        <v>36</v>
      </c>
      <c r="K13" s="5" t="s">
        <v>37</v>
      </c>
      <c r="L13" s="5" t="s">
        <v>106</v>
      </c>
    </row>
    <row r="14" customFormat="false" ht="46.25" hidden="false" customHeight="false" outlineLevel="0" collapsed="false">
      <c r="A14" s="5" t="s">
        <v>107</v>
      </c>
      <c r="B14" s="5" t="s">
        <v>100</v>
      </c>
      <c r="C14" s="5" t="s">
        <v>108</v>
      </c>
      <c r="D14" s="5" t="s">
        <v>102</v>
      </c>
      <c r="E14" s="5" t="s">
        <v>109</v>
      </c>
      <c r="F14" s="5" t="s">
        <v>110</v>
      </c>
      <c r="G14" s="5" t="s">
        <v>111</v>
      </c>
      <c r="H14" s="6"/>
      <c r="I14" s="6" t="s">
        <v>35</v>
      </c>
      <c r="J14" s="5" t="s">
        <v>36</v>
      </c>
      <c r="K14" s="5" t="s">
        <v>45</v>
      </c>
      <c r="L14" s="5" t="s">
        <v>106</v>
      </c>
    </row>
    <row r="15" customFormat="false" ht="46.25" hidden="false" customHeight="false" outlineLevel="0" collapsed="false">
      <c r="A15" s="5" t="s">
        <v>112</v>
      </c>
      <c r="B15" s="5" t="s">
        <v>100</v>
      </c>
      <c r="C15" s="5" t="s">
        <v>113</v>
      </c>
      <c r="D15" s="5" t="s">
        <v>114</v>
      </c>
      <c r="E15" s="5" t="s">
        <v>115</v>
      </c>
      <c r="F15" s="5" t="s">
        <v>116</v>
      </c>
      <c r="G15" s="5" t="s">
        <v>117</v>
      </c>
      <c r="H15" s="6"/>
      <c r="I15" s="6" t="s">
        <v>35</v>
      </c>
      <c r="J15" s="5" t="s">
        <v>36</v>
      </c>
      <c r="K15" s="5" t="s">
        <v>45</v>
      </c>
      <c r="L15" s="5" t="s">
        <v>106</v>
      </c>
    </row>
    <row r="16" customFormat="false" ht="46.25" hidden="false" customHeight="false" outlineLevel="0" collapsed="false">
      <c r="A16" s="5" t="s">
        <v>118</v>
      </c>
      <c r="B16" s="5" t="s">
        <v>100</v>
      </c>
      <c r="C16" s="5" t="s">
        <v>119</v>
      </c>
      <c r="D16" s="5" t="s">
        <v>120</v>
      </c>
      <c r="E16" s="5" t="s">
        <v>121</v>
      </c>
      <c r="F16" s="5" t="s">
        <v>122</v>
      </c>
      <c r="G16" s="5" t="s">
        <v>123</v>
      </c>
      <c r="H16" s="6"/>
      <c r="I16" s="6" t="s">
        <v>35</v>
      </c>
      <c r="J16" s="5" t="s">
        <v>52</v>
      </c>
      <c r="K16" s="5" t="s">
        <v>45</v>
      </c>
      <c r="L16" s="5" t="s">
        <v>106</v>
      </c>
    </row>
    <row r="17" customFormat="false" ht="46.25" hidden="false" customHeight="false" outlineLevel="0" collapsed="false">
      <c r="A17" s="5" t="s">
        <v>124</v>
      </c>
      <c r="B17" s="5" t="s">
        <v>100</v>
      </c>
      <c r="C17" s="5" t="s">
        <v>125</v>
      </c>
      <c r="D17" s="5" t="s">
        <v>120</v>
      </c>
      <c r="E17" s="5" t="s">
        <v>126</v>
      </c>
      <c r="F17" s="5" t="s">
        <v>127</v>
      </c>
      <c r="G17" s="5" t="s">
        <v>128</v>
      </c>
      <c r="H17" s="6"/>
      <c r="I17" s="6" t="s">
        <v>35</v>
      </c>
      <c r="J17" s="5" t="s">
        <v>52</v>
      </c>
      <c r="K17" s="5" t="s">
        <v>45</v>
      </c>
      <c r="L17" s="5" t="s">
        <v>106</v>
      </c>
    </row>
    <row r="18" customFormat="false" ht="46.25" hidden="false" customHeight="false" outlineLevel="0" collapsed="false">
      <c r="A18" s="5" t="s">
        <v>129</v>
      </c>
      <c r="B18" s="5" t="s">
        <v>100</v>
      </c>
      <c r="C18" s="5" t="s">
        <v>130</v>
      </c>
      <c r="D18" s="5" t="s">
        <v>120</v>
      </c>
      <c r="E18" s="5" t="s">
        <v>131</v>
      </c>
      <c r="F18" s="5" t="s">
        <v>61</v>
      </c>
      <c r="G18" s="5" t="s">
        <v>132</v>
      </c>
      <c r="H18" s="6"/>
      <c r="I18" s="6" t="s">
        <v>35</v>
      </c>
      <c r="J18" s="5" t="s">
        <v>85</v>
      </c>
      <c r="K18" s="5" t="s">
        <v>45</v>
      </c>
      <c r="L18" s="5" t="s">
        <v>106</v>
      </c>
    </row>
    <row r="19" customFormat="false" ht="46.25" hidden="false" customHeight="false" outlineLevel="0" collapsed="false">
      <c r="A19" s="5" t="s">
        <v>133</v>
      </c>
      <c r="B19" s="5" t="s">
        <v>100</v>
      </c>
      <c r="C19" s="5" t="s">
        <v>134</v>
      </c>
      <c r="D19" s="5" t="s">
        <v>135</v>
      </c>
      <c r="E19" s="5" t="s">
        <v>136</v>
      </c>
      <c r="F19" s="5" t="s">
        <v>137</v>
      </c>
      <c r="G19" s="5" t="s">
        <v>138</v>
      </c>
      <c r="H19" s="6"/>
      <c r="I19" s="6" t="s">
        <v>35</v>
      </c>
      <c r="J19" s="5" t="s">
        <v>52</v>
      </c>
      <c r="K19" s="5" t="s">
        <v>45</v>
      </c>
      <c r="L19" s="5" t="s">
        <v>106</v>
      </c>
    </row>
    <row r="20" customFormat="false" ht="46.25" hidden="false" customHeight="false" outlineLevel="0" collapsed="false">
      <c r="A20" s="5" t="s">
        <v>139</v>
      </c>
      <c r="B20" s="5" t="s">
        <v>100</v>
      </c>
      <c r="C20" s="5" t="s">
        <v>140</v>
      </c>
      <c r="D20" s="5" t="s">
        <v>120</v>
      </c>
      <c r="E20" s="5" t="s">
        <v>141</v>
      </c>
      <c r="F20" s="5" t="s">
        <v>142</v>
      </c>
      <c r="G20" s="5" t="s">
        <v>143</v>
      </c>
      <c r="H20" s="6"/>
      <c r="I20" s="6" t="s">
        <v>35</v>
      </c>
      <c r="J20" s="5" t="s">
        <v>52</v>
      </c>
      <c r="K20" s="5" t="s">
        <v>144</v>
      </c>
      <c r="L20" s="5" t="s">
        <v>106</v>
      </c>
    </row>
    <row r="21" customFormat="false" ht="23.85" hidden="false" customHeight="false" outlineLevel="0" collapsed="false">
      <c r="A21" s="5" t="s">
        <v>145</v>
      </c>
      <c r="B21" s="5" t="s">
        <v>146</v>
      </c>
      <c r="C21" s="5" t="s">
        <v>147</v>
      </c>
      <c r="D21" s="5" t="s">
        <v>95</v>
      </c>
      <c r="E21" s="5" t="s">
        <v>148</v>
      </c>
      <c r="F21" s="5" t="s">
        <v>90</v>
      </c>
      <c r="G21" s="5" t="s">
        <v>149</v>
      </c>
      <c r="H21" s="6"/>
      <c r="I21" s="6" t="s">
        <v>35</v>
      </c>
      <c r="J21" s="5" t="s">
        <v>36</v>
      </c>
      <c r="K21" s="5" t="s">
        <v>37</v>
      </c>
      <c r="L21" s="5" t="s">
        <v>150</v>
      </c>
    </row>
    <row r="22" customFormat="false" ht="35.05" hidden="false" customHeight="false" outlineLevel="0" collapsed="false">
      <c r="A22" s="5" t="s">
        <v>151</v>
      </c>
      <c r="B22" s="5" t="s">
        <v>146</v>
      </c>
      <c r="C22" s="5" t="s">
        <v>152</v>
      </c>
      <c r="D22" s="5" t="s">
        <v>153</v>
      </c>
      <c r="E22" s="5" t="s">
        <v>154</v>
      </c>
      <c r="F22" s="5" t="s">
        <v>90</v>
      </c>
      <c r="G22" s="5" t="s">
        <v>155</v>
      </c>
      <c r="H22" s="6"/>
      <c r="I22" s="6" t="s">
        <v>35</v>
      </c>
      <c r="J22" s="5" t="s">
        <v>52</v>
      </c>
      <c r="K22" s="5" t="s">
        <v>45</v>
      </c>
      <c r="L22" s="5" t="s">
        <v>150</v>
      </c>
    </row>
    <row r="23" customFormat="false" ht="23.85" hidden="false" customHeight="false" outlineLevel="0" collapsed="false">
      <c r="A23" s="5" t="s">
        <v>156</v>
      </c>
      <c r="B23" s="5" t="s">
        <v>157</v>
      </c>
      <c r="C23" s="5" t="s">
        <v>158</v>
      </c>
      <c r="D23" s="5" t="s">
        <v>159</v>
      </c>
      <c r="E23" s="5" t="s">
        <v>160</v>
      </c>
      <c r="F23" s="5" t="s">
        <v>90</v>
      </c>
      <c r="G23" s="5" t="s">
        <v>161</v>
      </c>
      <c r="H23" s="6"/>
      <c r="I23" s="6" t="s">
        <v>35</v>
      </c>
      <c r="J23" s="5" t="s">
        <v>36</v>
      </c>
      <c r="K23" s="5" t="s">
        <v>37</v>
      </c>
      <c r="L23" s="5" t="s">
        <v>162</v>
      </c>
    </row>
    <row r="24" customFormat="false" ht="46.25" hidden="false" customHeight="false" outlineLevel="0" collapsed="false">
      <c r="A24" s="5" t="s">
        <v>163</v>
      </c>
      <c r="B24" s="5" t="s">
        <v>157</v>
      </c>
      <c r="C24" s="5" t="s">
        <v>164</v>
      </c>
      <c r="D24" s="5" t="s">
        <v>165</v>
      </c>
      <c r="E24" s="5" t="s">
        <v>166</v>
      </c>
      <c r="F24" s="5" t="s">
        <v>167</v>
      </c>
      <c r="G24" s="5" t="s">
        <v>168</v>
      </c>
      <c r="H24" s="6"/>
      <c r="I24" s="6" t="s">
        <v>35</v>
      </c>
      <c r="J24" s="5" t="s">
        <v>36</v>
      </c>
      <c r="K24" s="5" t="s">
        <v>37</v>
      </c>
      <c r="L24" s="5" t="s">
        <v>162</v>
      </c>
    </row>
    <row r="25" customFormat="false" ht="46.25" hidden="false" customHeight="false" outlineLevel="0" collapsed="false">
      <c r="A25" s="5" t="s">
        <v>169</v>
      </c>
      <c r="B25" s="5" t="s">
        <v>157</v>
      </c>
      <c r="C25" s="5" t="s">
        <v>170</v>
      </c>
      <c r="D25" s="5" t="s">
        <v>165</v>
      </c>
      <c r="E25" s="5" t="s">
        <v>171</v>
      </c>
      <c r="F25" s="5" t="s">
        <v>172</v>
      </c>
      <c r="G25" s="5" t="s">
        <v>173</v>
      </c>
      <c r="H25" s="6"/>
      <c r="I25" s="6" t="s">
        <v>35</v>
      </c>
      <c r="J25" s="5" t="s">
        <v>52</v>
      </c>
      <c r="K25" s="5" t="s">
        <v>45</v>
      </c>
      <c r="L25" s="5" t="s">
        <v>162</v>
      </c>
    </row>
    <row r="26" customFormat="false" ht="46.25" hidden="false" customHeight="false" outlineLevel="0" collapsed="false">
      <c r="A26" s="5" t="s">
        <v>174</v>
      </c>
      <c r="B26" s="5" t="s">
        <v>157</v>
      </c>
      <c r="C26" s="5" t="s">
        <v>175</v>
      </c>
      <c r="D26" s="5" t="s">
        <v>165</v>
      </c>
      <c r="E26" s="5" t="s">
        <v>176</v>
      </c>
      <c r="F26" s="5" t="s">
        <v>177</v>
      </c>
      <c r="G26" s="5" t="s">
        <v>178</v>
      </c>
      <c r="H26" s="6"/>
      <c r="I26" s="6" t="s">
        <v>35</v>
      </c>
      <c r="J26" s="5" t="s">
        <v>85</v>
      </c>
      <c r="K26" s="5" t="s">
        <v>45</v>
      </c>
      <c r="L26" s="5" t="s">
        <v>162</v>
      </c>
    </row>
    <row r="27" customFormat="false" ht="46.25" hidden="false" customHeight="false" outlineLevel="0" collapsed="false">
      <c r="A27" s="5" t="s">
        <v>179</v>
      </c>
      <c r="B27" s="5" t="s">
        <v>157</v>
      </c>
      <c r="C27" s="5" t="s">
        <v>180</v>
      </c>
      <c r="D27" s="5" t="s">
        <v>165</v>
      </c>
      <c r="E27" s="5" t="s">
        <v>181</v>
      </c>
      <c r="F27" s="5" t="s">
        <v>182</v>
      </c>
      <c r="G27" s="5" t="s">
        <v>183</v>
      </c>
      <c r="H27" s="6"/>
      <c r="I27" s="6" t="s">
        <v>35</v>
      </c>
      <c r="J27" s="5" t="s">
        <v>85</v>
      </c>
      <c r="K27" s="5" t="s">
        <v>37</v>
      </c>
      <c r="L27" s="5" t="s">
        <v>162</v>
      </c>
    </row>
    <row r="28" customFormat="false" ht="35.05" hidden="false" customHeight="false" outlineLevel="0" collapsed="false">
      <c r="A28" s="5" t="s">
        <v>184</v>
      </c>
      <c r="B28" s="5" t="s">
        <v>157</v>
      </c>
      <c r="C28" s="5" t="s">
        <v>185</v>
      </c>
      <c r="D28" s="5" t="s">
        <v>186</v>
      </c>
      <c r="E28" s="5" t="s">
        <v>187</v>
      </c>
      <c r="F28" s="5" t="s">
        <v>188</v>
      </c>
      <c r="G28" s="5" t="s">
        <v>189</v>
      </c>
      <c r="H28" s="6"/>
      <c r="I28" s="6" t="s">
        <v>35</v>
      </c>
      <c r="J28" s="5" t="s">
        <v>52</v>
      </c>
      <c r="K28" s="5" t="s">
        <v>37</v>
      </c>
      <c r="L28" s="5" t="s">
        <v>162</v>
      </c>
    </row>
    <row r="29" customFormat="false" ht="35.05" hidden="false" customHeight="false" outlineLevel="0" collapsed="false">
      <c r="A29" s="5" t="s">
        <v>190</v>
      </c>
      <c r="B29" s="5" t="s">
        <v>157</v>
      </c>
      <c r="C29" s="5" t="s">
        <v>191</v>
      </c>
      <c r="D29" s="5" t="s">
        <v>165</v>
      </c>
      <c r="E29" s="5" t="s">
        <v>192</v>
      </c>
      <c r="F29" s="5" t="s">
        <v>193</v>
      </c>
      <c r="G29" s="5" t="s">
        <v>194</v>
      </c>
      <c r="H29" s="6"/>
      <c r="I29" s="6" t="s">
        <v>35</v>
      </c>
      <c r="J29" s="5" t="s">
        <v>52</v>
      </c>
      <c r="K29" s="5" t="s">
        <v>37</v>
      </c>
      <c r="L29" s="5" t="s">
        <v>162</v>
      </c>
    </row>
    <row r="30" customFormat="false" ht="35.05" hidden="false" customHeight="false" outlineLevel="0" collapsed="false">
      <c r="A30" s="5" t="s">
        <v>195</v>
      </c>
      <c r="B30" s="5" t="s">
        <v>157</v>
      </c>
      <c r="C30" s="5" t="s">
        <v>196</v>
      </c>
      <c r="D30" s="5" t="s">
        <v>165</v>
      </c>
      <c r="E30" s="5" t="s">
        <v>197</v>
      </c>
      <c r="F30" s="5" t="s">
        <v>90</v>
      </c>
      <c r="G30" s="5" t="s">
        <v>198</v>
      </c>
      <c r="H30" s="6"/>
      <c r="I30" s="6" t="s">
        <v>35</v>
      </c>
      <c r="J30" s="5" t="s">
        <v>36</v>
      </c>
      <c r="K30" s="5" t="s">
        <v>37</v>
      </c>
      <c r="L30" s="5" t="s">
        <v>162</v>
      </c>
    </row>
    <row r="31" customFormat="false" ht="46.25" hidden="false" customHeight="false" outlineLevel="0" collapsed="false">
      <c r="A31" s="5" t="s">
        <v>199</v>
      </c>
      <c r="B31" s="5" t="s">
        <v>157</v>
      </c>
      <c r="C31" s="5" t="s">
        <v>200</v>
      </c>
      <c r="D31" s="5" t="s">
        <v>165</v>
      </c>
      <c r="E31" s="5" t="s">
        <v>201</v>
      </c>
      <c r="F31" s="5" t="s">
        <v>202</v>
      </c>
      <c r="G31" s="5" t="s">
        <v>203</v>
      </c>
      <c r="H31" s="6"/>
      <c r="I31" s="6" t="s">
        <v>35</v>
      </c>
      <c r="J31" s="5" t="s">
        <v>85</v>
      </c>
      <c r="K31" s="5" t="s">
        <v>45</v>
      </c>
      <c r="L31" s="5" t="s">
        <v>162</v>
      </c>
    </row>
    <row r="32" customFormat="false" ht="35.05" hidden="false" customHeight="false" outlineLevel="0" collapsed="false">
      <c r="A32" s="5" t="s">
        <v>204</v>
      </c>
      <c r="B32" s="5" t="s">
        <v>205</v>
      </c>
      <c r="C32" s="5" t="s">
        <v>206</v>
      </c>
      <c r="D32" s="5" t="s">
        <v>165</v>
      </c>
      <c r="E32" s="5" t="s">
        <v>207</v>
      </c>
      <c r="F32" s="5" t="s">
        <v>208</v>
      </c>
      <c r="G32" s="5" t="s">
        <v>209</v>
      </c>
      <c r="H32" s="6"/>
      <c r="I32" s="6" t="s">
        <v>35</v>
      </c>
      <c r="J32" s="5" t="s">
        <v>36</v>
      </c>
      <c r="K32" s="5" t="s">
        <v>37</v>
      </c>
      <c r="L32" s="5" t="s">
        <v>210</v>
      </c>
    </row>
    <row r="33" customFormat="false" ht="57.45" hidden="false" customHeight="false" outlineLevel="0" collapsed="false">
      <c r="A33" s="5" t="s">
        <v>211</v>
      </c>
      <c r="B33" s="5" t="s">
        <v>205</v>
      </c>
      <c r="C33" s="5" t="s">
        <v>212</v>
      </c>
      <c r="D33" s="5" t="s">
        <v>213</v>
      </c>
      <c r="E33" s="5" t="s">
        <v>214</v>
      </c>
      <c r="F33" s="5" t="s">
        <v>215</v>
      </c>
      <c r="G33" s="5" t="s">
        <v>216</v>
      </c>
      <c r="H33" s="6"/>
      <c r="I33" s="6" t="s">
        <v>35</v>
      </c>
      <c r="J33" s="5" t="s">
        <v>36</v>
      </c>
      <c r="K33" s="5" t="s">
        <v>37</v>
      </c>
      <c r="L33" s="5" t="s">
        <v>210</v>
      </c>
    </row>
    <row r="34" customFormat="false" ht="57.45" hidden="false" customHeight="false" outlineLevel="0" collapsed="false">
      <c r="A34" s="5" t="s">
        <v>217</v>
      </c>
      <c r="B34" s="5" t="s">
        <v>205</v>
      </c>
      <c r="C34" s="5" t="s">
        <v>218</v>
      </c>
      <c r="D34" s="5" t="s">
        <v>165</v>
      </c>
      <c r="E34" s="5" t="s">
        <v>219</v>
      </c>
      <c r="F34" s="5" t="s">
        <v>220</v>
      </c>
      <c r="G34" s="5" t="s">
        <v>221</v>
      </c>
      <c r="H34" s="6"/>
      <c r="I34" s="6" t="s">
        <v>35</v>
      </c>
      <c r="J34" s="5" t="s">
        <v>36</v>
      </c>
      <c r="K34" s="5" t="s">
        <v>37</v>
      </c>
      <c r="L34" s="5" t="s">
        <v>210</v>
      </c>
    </row>
    <row r="35" customFormat="false" ht="57.45" hidden="false" customHeight="false" outlineLevel="0" collapsed="false">
      <c r="A35" s="5" t="s">
        <v>222</v>
      </c>
      <c r="B35" s="5" t="s">
        <v>205</v>
      </c>
      <c r="C35" s="5" t="s">
        <v>223</v>
      </c>
      <c r="D35" s="5" t="s">
        <v>224</v>
      </c>
      <c r="E35" s="5" t="s">
        <v>225</v>
      </c>
      <c r="F35" s="5" t="s">
        <v>226</v>
      </c>
      <c r="G35" s="5" t="s">
        <v>227</v>
      </c>
      <c r="H35" s="6"/>
      <c r="I35" s="6" t="s">
        <v>35</v>
      </c>
      <c r="J35" s="5" t="s">
        <v>52</v>
      </c>
      <c r="K35" s="5" t="s">
        <v>86</v>
      </c>
      <c r="L35" s="5" t="s">
        <v>210</v>
      </c>
    </row>
    <row r="36" customFormat="false" ht="35.05" hidden="false" customHeight="false" outlineLevel="0" collapsed="false">
      <c r="A36" s="5" t="s">
        <v>228</v>
      </c>
      <c r="B36" s="5" t="s">
        <v>205</v>
      </c>
      <c r="C36" s="5" t="s">
        <v>229</v>
      </c>
      <c r="D36" s="5" t="s">
        <v>230</v>
      </c>
      <c r="E36" s="5" t="s">
        <v>231</v>
      </c>
      <c r="F36" s="5" t="s">
        <v>90</v>
      </c>
      <c r="G36" s="5" t="s">
        <v>232</v>
      </c>
      <c r="H36" s="6"/>
      <c r="I36" s="6" t="s">
        <v>35</v>
      </c>
      <c r="J36" s="5" t="s">
        <v>36</v>
      </c>
      <c r="K36" s="5" t="s">
        <v>37</v>
      </c>
      <c r="L36" s="5" t="s">
        <v>233</v>
      </c>
    </row>
    <row r="37" customFormat="false" ht="46.25" hidden="false" customHeight="false" outlineLevel="0" collapsed="false">
      <c r="A37" s="5" t="s">
        <v>234</v>
      </c>
      <c r="B37" s="5" t="s">
        <v>205</v>
      </c>
      <c r="C37" s="5" t="s">
        <v>235</v>
      </c>
      <c r="D37" s="5" t="s">
        <v>236</v>
      </c>
      <c r="E37" s="5" t="s">
        <v>237</v>
      </c>
      <c r="F37" s="5" t="s">
        <v>238</v>
      </c>
      <c r="G37" s="5" t="s">
        <v>239</v>
      </c>
      <c r="H37" s="6"/>
      <c r="I37" s="6" t="s">
        <v>35</v>
      </c>
      <c r="J37" s="5" t="s">
        <v>36</v>
      </c>
      <c r="K37" s="5" t="s">
        <v>37</v>
      </c>
      <c r="L37" s="5" t="s">
        <v>233</v>
      </c>
    </row>
    <row r="38" customFormat="false" ht="57.45" hidden="false" customHeight="false" outlineLevel="0" collapsed="false">
      <c r="A38" s="5" t="s">
        <v>240</v>
      </c>
      <c r="B38" s="5" t="s">
        <v>205</v>
      </c>
      <c r="C38" s="5" t="s">
        <v>241</v>
      </c>
      <c r="D38" s="5" t="s">
        <v>213</v>
      </c>
      <c r="E38" s="5" t="s">
        <v>242</v>
      </c>
      <c r="F38" s="5" t="s">
        <v>243</v>
      </c>
      <c r="G38" s="5" t="s">
        <v>244</v>
      </c>
      <c r="H38" s="6"/>
      <c r="I38" s="6" t="s">
        <v>35</v>
      </c>
      <c r="J38" s="5" t="s">
        <v>52</v>
      </c>
      <c r="K38" s="5" t="s">
        <v>86</v>
      </c>
      <c r="L38" s="5" t="s">
        <v>233</v>
      </c>
    </row>
    <row r="39" customFormat="false" ht="57.45" hidden="false" customHeight="false" outlineLevel="0" collapsed="false">
      <c r="A39" s="5" t="s">
        <v>245</v>
      </c>
      <c r="B39" s="5" t="s">
        <v>205</v>
      </c>
      <c r="C39" s="5" t="s">
        <v>246</v>
      </c>
      <c r="D39" s="5" t="s">
        <v>213</v>
      </c>
      <c r="E39" s="5" t="s">
        <v>247</v>
      </c>
      <c r="F39" s="5" t="s">
        <v>248</v>
      </c>
      <c r="G39" s="5" t="s">
        <v>249</v>
      </c>
      <c r="H39" s="6"/>
      <c r="I39" s="6" t="s">
        <v>35</v>
      </c>
      <c r="J39" s="5" t="s">
        <v>52</v>
      </c>
      <c r="K39" s="5" t="s">
        <v>86</v>
      </c>
      <c r="L39" s="5" t="s">
        <v>233</v>
      </c>
    </row>
    <row r="40" customFormat="false" ht="35.05" hidden="false" customHeight="false" outlineLevel="0" collapsed="false">
      <c r="A40" s="5" t="s">
        <v>250</v>
      </c>
      <c r="B40" s="5" t="s">
        <v>205</v>
      </c>
      <c r="C40" s="5" t="s">
        <v>251</v>
      </c>
      <c r="D40" s="5" t="s">
        <v>230</v>
      </c>
      <c r="E40" s="5" t="s">
        <v>252</v>
      </c>
      <c r="F40" s="5" t="s">
        <v>90</v>
      </c>
      <c r="G40" s="5" t="s">
        <v>253</v>
      </c>
      <c r="H40" s="6"/>
      <c r="I40" s="6" t="s">
        <v>35</v>
      </c>
      <c r="J40" s="5" t="s">
        <v>52</v>
      </c>
      <c r="K40" s="5" t="s">
        <v>37</v>
      </c>
      <c r="L40" s="5" t="s">
        <v>233</v>
      </c>
    </row>
    <row r="41" customFormat="false" ht="23.85" hidden="false" customHeight="false" outlineLevel="0" collapsed="false">
      <c r="A41" s="5" t="s">
        <v>254</v>
      </c>
      <c r="B41" s="5" t="s">
        <v>205</v>
      </c>
      <c r="C41" s="5" t="s">
        <v>255</v>
      </c>
      <c r="D41" s="5" t="s">
        <v>224</v>
      </c>
      <c r="E41" s="5" t="s">
        <v>256</v>
      </c>
      <c r="F41" s="5" t="s">
        <v>90</v>
      </c>
      <c r="G41" s="5" t="s">
        <v>257</v>
      </c>
      <c r="H41" s="6"/>
      <c r="I41" s="6" t="s">
        <v>35</v>
      </c>
      <c r="J41" s="5" t="s">
        <v>85</v>
      </c>
      <c r="K41" s="5" t="s">
        <v>92</v>
      </c>
      <c r="L41" s="5" t="s">
        <v>233</v>
      </c>
    </row>
    <row r="42" customFormat="false" ht="35.05" hidden="false" customHeight="false" outlineLevel="0" collapsed="false">
      <c r="A42" s="5" t="s">
        <v>258</v>
      </c>
      <c r="B42" s="5" t="s">
        <v>259</v>
      </c>
      <c r="C42" s="5" t="s">
        <v>260</v>
      </c>
      <c r="D42" s="5" t="s">
        <v>261</v>
      </c>
      <c r="E42" s="5" t="s">
        <v>262</v>
      </c>
      <c r="F42" s="5" t="s">
        <v>90</v>
      </c>
      <c r="G42" s="5" t="s">
        <v>263</v>
      </c>
      <c r="H42" s="6"/>
      <c r="I42" s="6" t="s">
        <v>35</v>
      </c>
      <c r="J42" s="5" t="s">
        <v>36</v>
      </c>
      <c r="K42" s="5" t="s">
        <v>45</v>
      </c>
      <c r="L42" s="5" t="s">
        <v>264</v>
      </c>
    </row>
    <row r="43" customFormat="false" ht="57.45" hidden="false" customHeight="false" outlineLevel="0" collapsed="false">
      <c r="A43" s="5" t="s">
        <v>265</v>
      </c>
      <c r="B43" s="5" t="s">
        <v>259</v>
      </c>
      <c r="C43" s="5" t="s">
        <v>266</v>
      </c>
      <c r="D43" s="5" t="s">
        <v>267</v>
      </c>
      <c r="E43" s="5" t="s">
        <v>268</v>
      </c>
      <c r="F43" s="5" t="s">
        <v>269</v>
      </c>
      <c r="G43" s="5" t="s">
        <v>270</v>
      </c>
      <c r="H43" s="6"/>
      <c r="I43" s="6" t="s">
        <v>35</v>
      </c>
      <c r="J43" s="5" t="s">
        <v>36</v>
      </c>
      <c r="K43" s="5" t="s">
        <v>37</v>
      </c>
      <c r="L43" s="5" t="s">
        <v>264</v>
      </c>
    </row>
    <row r="44" customFormat="false" ht="35.05" hidden="false" customHeight="false" outlineLevel="0" collapsed="false">
      <c r="A44" s="5" t="s">
        <v>271</v>
      </c>
      <c r="B44" s="5" t="s">
        <v>259</v>
      </c>
      <c r="C44" s="5" t="s">
        <v>272</v>
      </c>
      <c r="D44" s="5" t="s">
        <v>273</v>
      </c>
      <c r="E44" s="5" t="s">
        <v>274</v>
      </c>
      <c r="F44" s="5" t="s">
        <v>275</v>
      </c>
      <c r="G44" s="5" t="s">
        <v>276</v>
      </c>
      <c r="H44" s="6"/>
      <c r="I44" s="6" t="s">
        <v>35</v>
      </c>
      <c r="J44" s="5" t="s">
        <v>36</v>
      </c>
      <c r="K44" s="5" t="s">
        <v>37</v>
      </c>
      <c r="L44" s="5" t="s">
        <v>264</v>
      </c>
    </row>
    <row r="45" customFormat="false" ht="35.05" hidden="false" customHeight="false" outlineLevel="0" collapsed="false">
      <c r="A45" s="5" t="s">
        <v>277</v>
      </c>
      <c r="B45" s="5" t="s">
        <v>259</v>
      </c>
      <c r="C45" s="5" t="s">
        <v>278</v>
      </c>
      <c r="D45" s="5" t="s">
        <v>273</v>
      </c>
      <c r="E45" s="5" t="s">
        <v>279</v>
      </c>
      <c r="F45" s="5" t="s">
        <v>280</v>
      </c>
      <c r="G45" s="5" t="s">
        <v>281</v>
      </c>
      <c r="H45" s="6"/>
      <c r="I45" s="6" t="s">
        <v>35</v>
      </c>
      <c r="J45" s="5" t="s">
        <v>36</v>
      </c>
      <c r="K45" s="5" t="s">
        <v>45</v>
      </c>
      <c r="L45" s="5" t="s">
        <v>264</v>
      </c>
    </row>
    <row r="46" customFormat="false" ht="46.25" hidden="false" customHeight="false" outlineLevel="0" collapsed="false">
      <c r="A46" s="5" t="s">
        <v>282</v>
      </c>
      <c r="B46" s="5" t="s">
        <v>259</v>
      </c>
      <c r="C46" s="5" t="s">
        <v>283</v>
      </c>
      <c r="D46" s="5" t="s">
        <v>273</v>
      </c>
      <c r="E46" s="5" t="s">
        <v>284</v>
      </c>
      <c r="F46" s="5" t="s">
        <v>285</v>
      </c>
      <c r="G46" s="5" t="s">
        <v>286</v>
      </c>
      <c r="H46" s="6"/>
      <c r="I46" s="6" t="s">
        <v>35</v>
      </c>
      <c r="J46" s="5" t="s">
        <v>52</v>
      </c>
      <c r="K46" s="5" t="s">
        <v>79</v>
      </c>
      <c r="L46" s="5" t="s">
        <v>264</v>
      </c>
    </row>
    <row r="47" customFormat="false" ht="35.05" hidden="false" customHeight="false" outlineLevel="0" collapsed="false">
      <c r="A47" s="5" t="s">
        <v>287</v>
      </c>
      <c r="B47" s="5" t="s">
        <v>259</v>
      </c>
      <c r="C47" s="5" t="s">
        <v>288</v>
      </c>
      <c r="D47" s="5" t="s">
        <v>273</v>
      </c>
      <c r="E47" s="5" t="s">
        <v>289</v>
      </c>
      <c r="F47" s="5" t="s">
        <v>290</v>
      </c>
      <c r="G47" s="5" t="s">
        <v>291</v>
      </c>
      <c r="H47" s="6"/>
      <c r="I47" s="6" t="s">
        <v>35</v>
      </c>
      <c r="J47" s="5" t="s">
        <v>52</v>
      </c>
      <c r="K47" s="5" t="s">
        <v>292</v>
      </c>
      <c r="L47" s="5" t="s">
        <v>264</v>
      </c>
    </row>
    <row r="48" customFormat="false" ht="46.25" hidden="false" customHeight="false" outlineLevel="0" collapsed="false">
      <c r="A48" s="5" t="s">
        <v>293</v>
      </c>
      <c r="B48" s="5" t="s">
        <v>259</v>
      </c>
      <c r="C48" s="5" t="s">
        <v>294</v>
      </c>
      <c r="D48" s="5" t="s">
        <v>267</v>
      </c>
      <c r="E48" s="5" t="s">
        <v>295</v>
      </c>
      <c r="F48" s="5" t="s">
        <v>296</v>
      </c>
      <c r="G48" s="5" t="s">
        <v>297</v>
      </c>
      <c r="H48" s="6"/>
      <c r="I48" s="6" t="s">
        <v>35</v>
      </c>
      <c r="J48" s="5" t="s">
        <v>52</v>
      </c>
      <c r="K48" s="5" t="s">
        <v>37</v>
      </c>
      <c r="L48" s="5" t="s">
        <v>264</v>
      </c>
    </row>
    <row r="49" customFormat="false" ht="35.05" hidden="false" customHeight="false" outlineLevel="0" collapsed="false">
      <c r="A49" s="5" t="s">
        <v>298</v>
      </c>
      <c r="B49" s="5" t="s">
        <v>259</v>
      </c>
      <c r="C49" s="5" t="s">
        <v>299</v>
      </c>
      <c r="D49" s="5" t="s">
        <v>300</v>
      </c>
      <c r="E49" s="5" t="s">
        <v>301</v>
      </c>
      <c r="F49" s="5" t="s">
        <v>302</v>
      </c>
      <c r="G49" s="5" t="s">
        <v>303</v>
      </c>
      <c r="H49" s="6"/>
      <c r="I49" s="6" t="s">
        <v>35</v>
      </c>
      <c r="J49" s="5" t="s">
        <v>36</v>
      </c>
      <c r="K49" s="5" t="s">
        <v>37</v>
      </c>
      <c r="L49" s="5" t="s">
        <v>264</v>
      </c>
    </row>
    <row r="50" customFormat="false" ht="23.85" hidden="false" customHeight="false" outlineLevel="0" collapsed="false">
      <c r="A50" s="5" t="s">
        <v>304</v>
      </c>
      <c r="B50" s="5" t="s">
        <v>259</v>
      </c>
      <c r="C50" s="5" t="s">
        <v>305</v>
      </c>
      <c r="D50" s="5" t="s">
        <v>306</v>
      </c>
      <c r="E50" s="5" t="s">
        <v>307</v>
      </c>
      <c r="F50" s="5" t="s">
        <v>90</v>
      </c>
      <c r="G50" s="5" t="s">
        <v>308</v>
      </c>
      <c r="H50" s="6"/>
      <c r="I50" s="6" t="s">
        <v>35</v>
      </c>
      <c r="J50" s="5" t="s">
        <v>85</v>
      </c>
      <c r="K50" s="5" t="s">
        <v>37</v>
      </c>
      <c r="L50" s="5" t="s">
        <v>264</v>
      </c>
    </row>
    <row r="51" customFormat="false" ht="57.45" hidden="false" customHeight="false" outlineLevel="0" collapsed="false">
      <c r="A51" s="5" t="s">
        <v>309</v>
      </c>
      <c r="B51" s="5" t="s">
        <v>310</v>
      </c>
      <c r="C51" s="5" t="s">
        <v>311</v>
      </c>
      <c r="D51" s="5" t="s">
        <v>312</v>
      </c>
      <c r="E51" s="5" t="s">
        <v>313</v>
      </c>
      <c r="F51" s="5" t="s">
        <v>314</v>
      </c>
      <c r="G51" s="5" t="s">
        <v>315</v>
      </c>
      <c r="H51" s="6"/>
      <c r="I51" s="6" t="s">
        <v>35</v>
      </c>
      <c r="J51" s="5" t="s">
        <v>36</v>
      </c>
      <c r="K51" s="5" t="s">
        <v>37</v>
      </c>
      <c r="L51" s="5" t="s">
        <v>316</v>
      </c>
    </row>
    <row r="52" customFormat="false" ht="35.05" hidden="false" customHeight="false" outlineLevel="0" collapsed="false">
      <c r="A52" s="5" t="s">
        <v>317</v>
      </c>
      <c r="B52" s="5" t="s">
        <v>310</v>
      </c>
      <c r="C52" s="5" t="s">
        <v>318</v>
      </c>
      <c r="D52" s="5" t="s">
        <v>312</v>
      </c>
      <c r="E52" s="5" t="s">
        <v>319</v>
      </c>
      <c r="F52" s="5" t="s">
        <v>320</v>
      </c>
      <c r="G52" s="5" t="s">
        <v>321</v>
      </c>
      <c r="H52" s="6"/>
      <c r="I52" s="6" t="s">
        <v>35</v>
      </c>
      <c r="J52" s="5" t="s">
        <v>52</v>
      </c>
      <c r="K52" s="5" t="s">
        <v>45</v>
      </c>
      <c r="L52" s="5" t="s">
        <v>316</v>
      </c>
    </row>
    <row r="53" customFormat="false" ht="46.25" hidden="false" customHeight="false" outlineLevel="0" collapsed="false">
      <c r="A53" s="5" t="s">
        <v>322</v>
      </c>
      <c r="B53" s="5" t="s">
        <v>310</v>
      </c>
      <c r="C53" s="5" t="s">
        <v>323</v>
      </c>
      <c r="D53" s="5" t="s">
        <v>312</v>
      </c>
      <c r="E53" s="5" t="s">
        <v>324</v>
      </c>
      <c r="F53" s="5" t="s">
        <v>61</v>
      </c>
      <c r="G53" s="5" t="s">
        <v>132</v>
      </c>
      <c r="H53" s="6"/>
      <c r="I53" s="6" t="s">
        <v>35</v>
      </c>
      <c r="J53" s="5" t="s">
        <v>52</v>
      </c>
      <c r="K53" s="5" t="s">
        <v>45</v>
      </c>
      <c r="L53" s="5" t="s">
        <v>316</v>
      </c>
    </row>
    <row r="54" customFormat="false" ht="57.45" hidden="false" customHeight="false" outlineLevel="0" collapsed="false">
      <c r="A54" s="5" t="s">
        <v>325</v>
      </c>
      <c r="B54" s="5" t="s">
        <v>310</v>
      </c>
      <c r="C54" s="5" t="s">
        <v>326</v>
      </c>
      <c r="D54" s="5" t="s">
        <v>312</v>
      </c>
      <c r="E54" s="5" t="s">
        <v>327</v>
      </c>
      <c r="F54" s="5" t="s">
        <v>328</v>
      </c>
      <c r="G54" s="5" t="s">
        <v>329</v>
      </c>
      <c r="H54" s="6"/>
      <c r="I54" s="6" t="s">
        <v>35</v>
      </c>
      <c r="J54" s="5" t="s">
        <v>85</v>
      </c>
      <c r="K54" s="5" t="s">
        <v>37</v>
      </c>
      <c r="L54" s="5" t="s">
        <v>316</v>
      </c>
    </row>
    <row r="55" customFormat="false" ht="57.45" hidden="false" customHeight="false" outlineLevel="0" collapsed="false">
      <c r="A55" s="5" t="s">
        <v>330</v>
      </c>
      <c r="B55" s="5" t="s">
        <v>310</v>
      </c>
      <c r="C55" s="5" t="s">
        <v>331</v>
      </c>
      <c r="D55" s="5" t="s">
        <v>312</v>
      </c>
      <c r="E55" s="5" t="s">
        <v>332</v>
      </c>
      <c r="F55" s="5" t="s">
        <v>333</v>
      </c>
      <c r="G55" s="5" t="s">
        <v>334</v>
      </c>
      <c r="H55" s="6"/>
      <c r="I55" s="6" t="s">
        <v>35</v>
      </c>
      <c r="J55" s="5" t="s">
        <v>85</v>
      </c>
      <c r="K55" s="5" t="s">
        <v>45</v>
      </c>
      <c r="L55" s="5" t="s">
        <v>316</v>
      </c>
    </row>
    <row r="56" customFormat="false" ht="23.85" hidden="false" customHeight="false" outlineLevel="0" collapsed="false">
      <c r="A56" s="5" t="s">
        <v>335</v>
      </c>
      <c r="B56" s="5" t="s">
        <v>310</v>
      </c>
      <c r="C56" s="5" t="s">
        <v>336</v>
      </c>
      <c r="D56" s="5" t="s">
        <v>337</v>
      </c>
      <c r="E56" s="5" t="s">
        <v>338</v>
      </c>
      <c r="F56" s="5" t="s">
        <v>90</v>
      </c>
      <c r="G56" s="5" t="s">
        <v>339</v>
      </c>
      <c r="H56" s="6"/>
      <c r="I56" s="6" t="s">
        <v>35</v>
      </c>
      <c r="J56" s="5" t="s">
        <v>85</v>
      </c>
      <c r="K56" s="5" t="s">
        <v>37</v>
      </c>
      <c r="L56" s="5" t="s">
        <v>316</v>
      </c>
    </row>
    <row r="57" customFormat="false" ht="46.25" hidden="false" customHeight="false" outlineLevel="0" collapsed="false">
      <c r="A57" s="5" t="s">
        <v>340</v>
      </c>
      <c r="B57" s="5" t="s">
        <v>341</v>
      </c>
      <c r="C57" s="5" t="s">
        <v>342</v>
      </c>
      <c r="D57" s="5" t="s">
        <v>159</v>
      </c>
      <c r="E57" s="5" t="s">
        <v>343</v>
      </c>
      <c r="F57" s="5" t="s">
        <v>344</v>
      </c>
      <c r="G57" s="5" t="s">
        <v>345</v>
      </c>
      <c r="H57" s="6"/>
      <c r="I57" s="6" t="s">
        <v>35</v>
      </c>
      <c r="J57" s="5" t="s">
        <v>52</v>
      </c>
      <c r="K57" s="5" t="s">
        <v>37</v>
      </c>
      <c r="L57" s="5" t="s">
        <v>346</v>
      </c>
    </row>
    <row r="58" customFormat="false" ht="46.25" hidden="false" customHeight="false" outlineLevel="0" collapsed="false">
      <c r="A58" s="5" t="s">
        <v>347</v>
      </c>
      <c r="B58" s="5" t="s">
        <v>341</v>
      </c>
      <c r="C58" s="5" t="s">
        <v>348</v>
      </c>
      <c r="D58" s="5" t="s">
        <v>159</v>
      </c>
      <c r="E58" s="5" t="s">
        <v>349</v>
      </c>
      <c r="F58" s="5" t="s">
        <v>350</v>
      </c>
      <c r="G58" s="5" t="s">
        <v>351</v>
      </c>
      <c r="H58" s="6"/>
      <c r="I58" s="6" t="s">
        <v>35</v>
      </c>
      <c r="J58" s="5" t="s">
        <v>85</v>
      </c>
      <c r="K58" s="5" t="s">
        <v>45</v>
      </c>
      <c r="L58" s="5" t="s">
        <v>346</v>
      </c>
    </row>
    <row r="59" customFormat="false" ht="46.25" hidden="false" customHeight="false" outlineLevel="0" collapsed="false">
      <c r="A59" s="5" t="s">
        <v>352</v>
      </c>
      <c r="B59" s="5" t="s">
        <v>341</v>
      </c>
      <c r="C59" s="5" t="s">
        <v>353</v>
      </c>
      <c r="D59" s="5" t="s">
        <v>159</v>
      </c>
      <c r="E59" s="5" t="s">
        <v>354</v>
      </c>
      <c r="F59" s="5" t="s">
        <v>61</v>
      </c>
      <c r="G59" s="5" t="s">
        <v>355</v>
      </c>
      <c r="H59" s="6"/>
      <c r="I59" s="6" t="s">
        <v>35</v>
      </c>
      <c r="J59" s="5" t="s">
        <v>85</v>
      </c>
      <c r="K59" s="5" t="s">
        <v>45</v>
      </c>
      <c r="L59" s="5" t="s">
        <v>346</v>
      </c>
    </row>
    <row r="60" customFormat="false" ht="46.25" hidden="false" customHeight="false" outlineLevel="0" collapsed="false">
      <c r="A60" s="5" t="s">
        <v>356</v>
      </c>
      <c r="B60" s="5" t="s">
        <v>341</v>
      </c>
      <c r="C60" s="5" t="s">
        <v>357</v>
      </c>
      <c r="D60" s="5" t="s">
        <v>358</v>
      </c>
      <c r="E60" s="5" t="s">
        <v>359</v>
      </c>
      <c r="F60" s="5" t="s">
        <v>344</v>
      </c>
      <c r="G60" s="5" t="s">
        <v>345</v>
      </c>
      <c r="H60" s="6"/>
      <c r="I60" s="6" t="s">
        <v>35</v>
      </c>
      <c r="J60" s="5" t="s">
        <v>85</v>
      </c>
      <c r="K60" s="5" t="s">
        <v>37</v>
      </c>
      <c r="L60" s="5" t="s">
        <v>346</v>
      </c>
    </row>
  </sheetData>
  <autoFilter ref="A1:L60"/>
  <conditionalFormatting sqref="I2:I60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Style="stop" operator="between" showDropDown="false" showErrorMessage="false" showInputMessage="false" sqref="I2:I60" type="list">
      <formula1>"Not Executed,Pass,Fail,Blocked"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4" t="s">
        <v>27</v>
      </c>
      <c r="B1" s="4" t="s">
        <v>360</v>
      </c>
      <c r="C1" s="4" t="s">
        <v>17</v>
      </c>
      <c r="D1" s="4" t="s">
        <v>361</v>
      </c>
      <c r="E1" s="4" t="s">
        <v>362</v>
      </c>
      <c r="F1" s="4" t="s">
        <v>363</v>
      </c>
      <c r="G1" s="4" t="s">
        <v>364</v>
      </c>
      <c r="H1" s="4" t="s">
        <v>35</v>
      </c>
      <c r="I1" s="4" t="s">
        <v>365</v>
      </c>
    </row>
    <row r="2" customFormat="false" ht="35.05" hidden="false" customHeight="false" outlineLevel="0" collapsed="false">
      <c r="A2" s="5" t="s">
        <v>38</v>
      </c>
      <c r="B2" s="5" t="s">
        <v>366</v>
      </c>
      <c r="C2" s="5" t="s">
        <v>29</v>
      </c>
      <c r="D2" s="5" t="n">
        <f aca="false">COUNTIF('Test Cases'!$L$2:$L$60,A2)</f>
        <v>11</v>
      </c>
      <c r="E2" s="5" t="s">
        <v>367</v>
      </c>
      <c r="F2" s="5" t="n">
        <f aca="false">COUNTIFS('Test Cases'!$L$2:$L$60,A2,'Test Cases'!$I$2:$I$60,"Pass")</f>
        <v>0</v>
      </c>
      <c r="G2" s="5" t="n">
        <f aca="false">COUNTIFS('Test Cases'!$L$2:$L$60,A2,'Test Cases'!$I$2:$I$60,"Fail")</f>
        <v>0</v>
      </c>
      <c r="H2" s="5" t="n">
        <f aca="false">COUNTIFS('Test Cases'!$L$2:$L$60,A2,'Test Cases'!$I$2:$I$60,"Not Executed")</f>
        <v>11</v>
      </c>
      <c r="I2" s="5" t="str">
        <f aca="false">IF(D2=0,"No test cases","Covered")</f>
        <v>Covered</v>
      </c>
    </row>
    <row r="3" customFormat="false" ht="23.85" hidden="false" customHeight="false" outlineLevel="0" collapsed="false">
      <c r="A3" s="5" t="s">
        <v>106</v>
      </c>
      <c r="B3" s="5" t="s">
        <v>368</v>
      </c>
      <c r="C3" s="5" t="s">
        <v>100</v>
      </c>
      <c r="D3" s="5" t="n">
        <f aca="false">COUNTIF('Test Cases'!$L$2:$L$60,A3)</f>
        <v>8</v>
      </c>
      <c r="E3" s="5" t="s">
        <v>369</v>
      </c>
      <c r="F3" s="5" t="n">
        <f aca="false">COUNTIFS('Test Cases'!$L$2:$L$60,A3,'Test Cases'!$I$2:$I$60,"Pass")</f>
        <v>0</v>
      </c>
      <c r="G3" s="5" t="n">
        <f aca="false">COUNTIFS('Test Cases'!$L$2:$L$60,A3,'Test Cases'!$I$2:$I$60,"Fail")</f>
        <v>0</v>
      </c>
      <c r="H3" s="5" t="n">
        <f aca="false">COUNTIFS('Test Cases'!$L$2:$L$60,A3,'Test Cases'!$I$2:$I$60,"Not Executed")</f>
        <v>8</v>
      </c>
      <c r="I3" s="5" t="str">
        <f aca="false">IF(D3=0,"No test cases","Covered")</f>
        <v>Covered</v>
      </c>
    </row>
    <row r="4" customFormat="false" ht="15" hidden="false" customHeight="false" outlineLevel="0" collapsed="false">
      <c r="A4" s="5" t="s">
        <v>150</v>
      </c>
      <c r="B4" s="5" t="s">
        <v>370</v>
      </c>
      <c r="C4" s="5" t="s">
        <v>146</v>
      </c>
      <c r="D4" s="5" t="n">
        <f aca="false">COUNTIF('Test Cases'!$L$2:$L$60,A4)</f>
        <v>2</v>
      </c>
      <c r="E4" s="5" t="s">
        <v>371</v>
      </c>
      <c r="F4" s="5" t="n">
        <f aca="false">COUNTIFS('Test Cases'!$L$2:$L$60,A4,'Test Cases'!$I$2:$I$60,"Pass")</f>
        <v>0</v>
      </c>
      <c r="G4" s="5" t="n">
        <f aca="false">COUNTIFS('Test Cases'!$L$2:$L$60,A4,'Test Cases'!$I$2:$I$60,"Fail")</f>
        <v>0</v>
      </c>
      <c r="H4" s="5" t="n">
        <f aca="false">COUNTIFS('Test Cases'!$L$2:$L$60,A4,'Test Cases'!$I$2:$I$60,"Not Executed")</f>
        <v>2</v>
      </c>
      <c r="I4" s="5" t="str">
        <f aca="false">IF(D4=0,"No test cases","Covered")</f>
        <v>Covered</v>
      </c>
    </row>
    <row r="5" customFormat="false" ht="35.05" hidden="false" customHeight="false" outlineLevel="0" collapsed="false">
      <c r="A5" s="5" t="s">
        <v>162</v>
      </c>
      <c r="B5" s="5" t="s">
        <v>372</v>
      </c>
      <c r="C5" s="5" t="s">
        <v>157</v>
      </c>
      <c r="D5" s="5" t="n">
        <f aca="false">COUNTIF('Test Cases'!$L$2:$L$60,A5)</f>
        <v>9</v>
      </c>
      <c r="E5" s="5" t="s">
        <v>373</v>
      </c>
      <c r="F5" s="5" t="n">
        <f aca="false">COUNTIFS('Test Cases'!$L$2:$L$60,A5,'Test Cases'!$I$2:$I$60,"Pass")</f>
        <v>0</v>
      </c>
      <c r="G5" s="5" t="n">
        <f aca="false">COUNTIFS('Test Cases'!$L$2:$L$60,A5,'Test Cases'!$I$2:$I$60,"Fail")</f>
        <v>0</v>
      </c>
      <c r="H5" s="5" t="n">
        <f aca="false">COUNTIFS('Test Cases'!$L$2:$L$60,A5,'Test Cases'!$I$2:$I$60,"Not Executed")</f>
        <v>9</v>
      </c>
      <c r="I5" s="5" t="str">
        <f aca="false">IF(D5=0,"No test cases","Covered")</f>
        <v>Covered</v>
      </c>
    </row>
    <row r="6" customFormat="false" ht="15" hidden="false" customHeight="false" outlineLevel="0" collapsed="false">
      <c r="A6" s="5" t="s">
        <v>210</v>
      </c>
      <c r="B6" s="5" t="s">
        <v>374</v>
      </c>
      <c r="C6" s="5" t="s">
        <v>205</v>
      </c>
      <c r="D6" s="5" t="n">
        <f aca="false">COUNTIF('Test Cases'!$L$2:$L$60,A6)</f>
        <v>4</v>
      </c>
      <c r="E6" s="5" t="s">
        <v>375</v>
      </c>
      <c r="F6" s="5" t="n">
        <f aca="false">COUNTIFS('Test Cases'!$L$2:$L$60,A6,'Test Cases'!$I$2:$I$60,"Pass")</f>
        <v>0</v>
      </c>
      <c r="G6" s="5" t="n">
        <f aca="false">COUNTIFS('Test Cases'!$L$2:$L$60,A6,'Test Cases'!$I$2:$I$60,"Fail")</f>
        <v>0</v>
      </c>
      <c r="H6" s="5" t="n">
        <f aca="false">COUNTIFS('Test Cases'!$L$2:$L$60,A6,'Test Cases'!$I$2:$I$60,"Not Executed")</f>
        <v>4</v>
      </c>
      <c r="I6" s="5" t="str">
        <f aca="false">IF(D6=0,"No test cases","Covered")</f>
        <v>Covered</v>
      </c>
    </row>
    <row r="7" customFormat="false" ht="23.85" hidden="false" customHeight="false" outlineLevel="0" collapsed="false">
      <c r="A7" s="5" t="s">
        <v>233</v>
      </c>
      <c r="B7" s="5" t="s">
        <v>376</v>
      </c>
      <c r="C7" s="5" t="s">
        <v>205</v>
      </c>
      <c r="D7" s="5" t="n">
        <f aca="false">COUNTIF('Test Cases'!$L$2:$L$60,A7)</f>
        <v>6</v>
      </c>
      <c r="E7" s="5" t="s">
        <v>377</v>
      </c>
      <c r="F7" s="5" t="n">
        <f aca="false">COUNTIFS('Test Cases'!$L$2:$L$60,A7,'Test Cases'!$I$2:$I$60,"Pass")</f>
        <v>0</v>
      </c>
      <c r="G7" s="5" t="n">
        <f aca="false">COUNTIFS('Test Cases'!$L$2:$L$60,A7,'Test Cases'!$I$2:$I$60,"Fail")</f>
        <v>0</v>
      </c>
      <c r="H7" s="5" t="n">
        <f aca="false">COUNTIFS('Test Cases'!$L$2:$L$60,A7,'Test Cases'!$I$2:$I$60,"Not Executed")</f>
        <v>6</v>
      </c>
      <c r="I7" s="5" t="str">
        <f aca="false">IF(D7=0,"No test cases","Covered")</f>
        <v>Covered</v>
      </c>
    </row>
    <row r="8" customFormat="false" ht="23.85" hidden="false" customHeight="false" outlineLevel="0" collapsed="false">
      <c r="A8" s="5" t="s">
        <v>264</v>
      </c>
      <c r="B8" s="5" t="s">
        <v>378</v>
      </c>
      <c r="C8" s="5" t="s">
        <v>259</v>
      </c>
      <c r="D8" s="5" t="n">
        <f aca="false">COUNTIF('Test Cases'!$L$2:$L$60,A8)</f>
        <v>9</v>
      </c>
      <c r="E8" s="5" t="s">
        <v>379</v>
      </c>
      <c r="F8" s="5" t="n">
        <f aca="false">COUNTIFS('Test Cases'!$L$2:$L$60,A8,'Test Cases'!$I$2:$I$60,"Pass")</f>
        <v>0</v>
      </c>
      <c r="G8" s="5" t="n">
        <f aca="false">COUNTIFS('Test Cases'!$L$2:$L$60,A8,'Test Cases'!$I$2:$I$60,"Fail")</f>
        <v>0</v>
      </c>
      <c r="H8" s="5" t="n">
        <f aca="false">COUNTIFS('Test Cases'!$L$2:$L$60,A8,'Test Cases'!$I$2:$I$60,"Not Executed")</f>
        <v>9</v>
      </c>
      <c r="I8" s="5" t="str">
        <f aca="false">IF(D8=0,"No test cases","Covered")</f>
        <v>Covered</v>
      </c>
    </row>
    <row r="9" customFormat="false" ht="23.85" hidden="false" customHeight="false" outlineLevel="0" collapsed="false">
      <c r="A9" s="5" t="s">
        <v>316</v>
      </c>
      <c r="B9" s="5" t="s">
        <v>380</v>
      </c>
      <c r="C9" s="5" t="s">
        <v>310</v>
      </c>
      <c r="D9" s="5" t="n">
        <f aca="false">COUNTIF('Test Cases'!$L$2:$L$60,A9)</f>
        <v>6</v>
      </c>
      <c r="E9" s="5" t="s">
        <v>381</v>
      </c>
      <c r="F9" s="5" t="n">
        <f aca="false">COUNTIFS('Test Cases'!$L$2:$L$60,A9,'Test Cases'!$I$2:$I$60,"Pass")</f>
        <v>0</v>
      </c>
      <c r="G9" s="5" t="n">
        <f aca="false">COUNTIFS('Test Cases'!$L$2:$L$60,A9,'Test Cases'!$I$2:$I$60,"Fail")</f>
        <v>0</v>
      </c>
      <c r="H9" s="5" t="n">
        <f aca="false">COUNTIFS('Test Cases'!$L$2:$L$60,A9,'Test Cases'!$I$2:$I$60,"Not Executed")</f>
        <v>6</v>
      </c>
      <c r="I9" s="5" t="str">
        <f aca="false">IF(D9=0,"No test cases","Covered")</f>
        <v>Covered</v>
      </c>
    </row>
    <row r="10" customFormat="false" ht="15" hidden="false" customHeight="false" outlineLevel="0" collapsed="false">
      <c r="A10" s="5" t="s">
        <v>346</v>
      </c>
      <c r="B10" s="5" t="s">
        <v>382</v>
      </c>
      <c r="C10" s="5" t="s">
        <v>341</v>
      </c>
      <c r="D10" s="5" t="n">
        <f aca="false">COUNTIF('Test Cases'!$L$2:$L$60,A10)</f>
        <v>4</v>
      </c>
      <c r="E10" s="5" t="s">
        <v>383</v>
      </c>
      <c r="F10" s="5" t="n">
        <f aca="false">COUNTIFS('Test Cases'!$L$2:$L$60,A10,'Test Cases'!$I$2:$I$60,"Pass")</f>
        <v>0</v>
      </c>
      <c r="G10" s="5" t="n">
        <f aca="false">COUNTIFS('Test Cases'!$L$2:$L$60,A10,'Test Cases'!$I$2:$I$60,"Fail")</f>
        <v>0</v>
      </c>
      <c r="H10" s="5" t="n">
        <f aca="false">COUNTIFS('Test Cases'!$L$2:$L$60,A10,'Test Cases'!$I$2:$I$60,"Not Executed")</f>
        <v>4</v>
      </c>
      <c r="I10" s="5" t="str">
        <f aca="false">IF(D10=0,"No test cases","Covered")</f>
        <v>Covered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44"/>
    <col collapsed="false" customWidth="true" hidden="false" outlineLevel="0" max="9" min="9" style="0" width="32"/>
    <col collapsed="false" customWidth="true" hidden="false" outlineLevel="0" max="10" min="10" style="0" width="40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4" t="s">
        <v>384</v>
      </c>
      <c r="B1" s="4" t="s">
        <v>385</v>
      </c>
      <c r="C1" s="4" t="s">
        <v>17</v>
      </c>
      <c r="D1" s="4" t="s">
        <v>386</v>
      </c>
      <c r="E1" s="4" t="s">
        <v>387</v>
      </c>
      <c r="F1" s="4" t="s">
        <v>25</v>
      </c>
      <c r="G1" s="4" t="s">
        <v>388</v>
      </c>
      <c r="H1" s="4" t="s">
        <v>389</v>
      </c>
      <c r="I1" s="4" t="s">
        <v>22</v>
      </c>
      <c r="J1" s="4" t="s">
        <v>23</v>
      </c>
      <c r="K1" s="4" t="s">
        <v>24</v>
      </c>
      <c r="L1" s="4" t="s">
        <v>390</v>
      </c>
      <c r="M1" s="4" t="s">
        <v>391</v>
      </c>
    </row>
    <row r="2" customFormat="false" ht="23.85" hidden="false" customHeight="false" outlineLevel="0" collapsed="false">
      <c r="A2" s="7" t="s">
        <v>392</v>
      </c>
      <c r="B2" s="7" t="s">
        <v>393</v>
      </c>
      <c r="C2" s="7" t="s">
        <v>29</v>
      </c>
      <c r="D2" s="7" t="s">
        <v>74</v>
      </c>
      <c r="E2" s="7" t="s">
        <v>394</v>
      </c>
      <c r="F2" s="7" t="s">
        <v>85</v>
      </c>
      <c r="G2" s="7" t="s">
        <v>395</v>
      </c>
      <c r="H2" s="7" t="s">
        <v>396</v>
      </c>
      <c r="I2" s="7" t="s">
        <v>397</v>
      </c>
      <c r="J2" s="7" t="s">
        <v>398</v>
      </c>
      <c r="K2" s="7" t="s">
        <v>399</v>
      </c>
      <c r="L2" s="7" t="s">
        <v>400</v>
      </c>
      <c r="M2" s="7" t="s">
        <v>401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</sheetData>
  <dataValidations count="3">
    <dataValidation allowBlank="false" errorStyle="stop" operator="between" showDropDown="false" showErrorMessage="false" showInputMessage="false" sqref="E2:E22" type="list">
      <formula1>"Critical,Major,Minor,Trivial"</formula1>
      <formula2>0</formula2>
    </dataValidation>
    <dataValidation allowBlank="false" errorStyle="stop" operator="between" showDropDown="false" showErrorMessage="false" showInputMessage="false" sqref="F2:F22" type="list">
      <formula1>"High,Medium,Low"</formula1>
      <formula2>0</formula2>
    </dataValidation>
    <dataValidation allowBlank="false" errorStyle="stop" operator="between" showDropDown="false" showErrorMessage="false" showInputMessage="false" sqref="K2:K22" type="list">
      <formula1>"Open,In Progress,Fixed,Closed,Rejected"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8" t="s">
        <v>402</v>
      </c>
    </row>
    <row r="3" customFormat="false" ht="15" hidden="false" customHeight="false" outlineLevel="0" collapsed="false">
      <c r="A3" s="4" t="s">
        <v>403</v>
      </c>
      <c r="B3" s="4" t="s">
        <v>404</v>
      </c>
    </row>
    <row r="4" customFormat="false" ht="15" hidden="false" customHeight="false" outlineLevel="0" collapsed="false">
      <c r="A4" s="9" t="s">
        <v>405</v>
      </c>
      <c r="B4" s="9" t="n">
        <f aca="false">COUNTA('Test Cases'!$A$2:$A$60)</f>
        <v>59</v>
      </c>
    </row>
    <row r="5" customFormat="false" ht="15" hidden="false" customHeight="false" outlineLevel="0" collapsed="false">
      <c r="A5" s="9" t="s">
        <v>363</v>
      </c>
      <c r="B5" s="9" t="n">
        <f aca="false">COUNTIF('Test Cases'!$I$2:$I$60,"Pass")</f>
        <v>0</v>
      </c>
    </row>
    <row r="6" customFormat="false" ht="15" hidden="false" customHeight="false" outlineLevel="0" collapsed="false">
      <c r="A6" s="9" t="s">
        <v>364</v>
      </c>
      <c r="B6" s="9" t="n">
        <f aca="false">COUNTIF('Test Cases'!$I$2:$I$60,"Fail")</f>
        <v>0</v>
      </c>
    </row>
    <row r="7" customFormat="false" ht="15" hidden="false" customHeight="false" outlineLevel="0" collapsed="false">
      <c r="A7" s="9" t="s">
        <v>406</v>
      </c>
      <c r="B7" s="9" t="n">
        <f aca="false">COUNTIF('Test Cases'!$I$2:$I$60,"Blocked")</f>
        <v>0</v>
      </c>
    </row>
    <row r="8" customFormat="false" ht="15" hidden="false" customHeight="false" outlineLevel="0" collapsed="false">
      <c r="A8" s="9" t="s">
        <v>35</v>
      </c>
      <c r="B8" s="9" t="n">
        <f aca="false">COUNTIF('Test Cases'!$I$2:$I$60,"Not Executed")</f>
        <v>59</v>
      </c>
    </row>
    <row r="9" customFormat="false" ht="15" hidden="false" customHeight="false" outlineLevel="0" collapsed="false">
      <c r="A9" s="9" t="s">
        <v>407</v>
      </c>
      <c r="B9" s="10" t="n">
        <f aca="false">IFERROR((B5+B6+B7)/B4,0)</f>
        <v>0</v>
      </c>
    </row>
    <row r="10" customFormat="false" ht="15" hidden="false" customHeight="false" outlineLevel="0" collapsed="false">
      <c r="A10" s="9" t="s">
        <v>408</v>
      </c>
      <c r="B10" s="10" t="n">
        <f aca="false">IFERROR(B5/(B5+B6+B7),0)</f>
        <v>0</v>
      </c>
    </row>
    <row r="13" customFormat="false" ht="15" hidden="false" customHeight="false" outlineLevel="0" collapsed="false">
      <c r="A13" s="4" t="s">
        <v>17</v>
      </c>
      <c r="B13" s="4" t="s">
        <v>409</v>
      </c>
      <c r="C13" s="4" t="s">
        <v>363</v>
      </c>
      <c r="D13" s="4" t="s">
        <v>364</v>
      </c>
      <c r="E13" s="4" t="s">
        <v>406</v>
      </c>
      <c r="F13" s="4" t="s">
        <v>35</v>
      </c>
    </row>
    <row r="14" customFormat="false" ht="15" hidden="false" customHeight="false" outlineLevel="0" collapsed="false">
      <c r="A14" s="9" t="s">
        <v>29</v>
      </c>
      <c r="B14" s="9" t="n">
        <f aca="false">COUNTIF('Test Cases'!$B$2:$B$60,A14)</f>
        <v>11</v>
      </c>
      <c r="C14" s="9" t="n">
        <f aca="false">COUNTIFS('Test Cases'!$B$2:$B$60,A14,'Test Cases'!$I$2:$I$60,"Pass")</f>
        <v>0</v>
      </c>
      <c r="D14" s="9" t="n">
        <f aca="false">COUNTIFS('Test Cases'!$B$2:$B$60,A14,'Test Cases'!$I$2:$I$60,"Fail")</f>
        <v>0</v>
      </c>
      <c r="E14" s="9" t="n">
        <f aca="false">COUNTIFS('Test Cases'!$B$2:$B$60,A14,'Test Cases'!$I$2:$I$60,"Blocked")</f>
        <v>0</v>
      </c>
      <c r="F14" s="9" t="n">
        <f aca="false">COUNTIFS('Test Cases'!$B$2:$B$60,A14,'Test Cases'!$I$2:$I$60,"Not Executed")</f>
        <v>11</v>
      </c>
    </row>
    <row r="15" customFormat="false" ht="15" hidden="false" customHeight="false" outlineLevel="0" collapsed="false">
      <c r="A15" s="9" t="s">
        <v>100</v>
      </c>
      <c r="B15" s="9" t="n">
        <f aca="false">COUNTIF('Test Cases'!$B$2:$B$60,A15)</f>
        <v>8</v>
      </c>
      <c r="C15" s="9" t="n">
        <f aca="false">COUNTIFS('Test Cases'!$B$2:$B$60,A15,'Test Cases'!$I$2:$I$60,"Pass")</f>
        <v>0</v>
      </c>
      <c r="D15" s="9" t="n">
        <f aca="false">COUNTIFS('Test Cases'!$B$2:$B$60,A15,'Test Cases'!$I$2:$I$60,"Fail")</f>
        <v>0</v>
      </c>
      <c r="E15" s="9" t="n">
        <f aca="false">COUNTIFS('Test Cases'!$B$2:$B$60,A15,'Test Cases'!$I$2:$I$60,"Blocked")</f>
        <v>0</v>
      </c>
      <c r="F15" s="9" t="n">
        <f aca="false">COUNTIFS('Test Cases'!$B$2:$B$60,A15,'Test Cases'!$I$2:$I$60,"Not Executed")</f>
        <v>8</v>
      </c>
    </row>
    <row r="16" customFormat="false" ht="15" hidden="false" customHeight="false" outlineLevel="0" collapsed="false">
      <c r="A16" s="9" t="s">
        <v>146</v>
      </c>
      <c r="B16" s="9" t="n">
        <f aca="false">COUNTIF('Test Cases'!$B$2:$B$60,A16)</f>
        <v>2</v>
      </c>
      <c r="C16" s="9" t="n">
        <f aca="false">COUNTIFS('Test Cases'!$B$2:$B$60,A16,'Test Cases'!$I$2:$I$60,"Pass")</f>
        <v>0</v>
      </c>
      <c r="D16" s="9" t="n">
        <f aca="false">COUNTIFS('Test Cases'!$B$2:$B$60,A16,'Test Cases'!$I$2:$I$60,"Fail")</f>
        <v>0</v>
      </c>
      <c r="E16" s="9" t="n">
        <f aca="false">COUNTIFS('Test Cases'!$B$2:$B$60,A16,'Test Cases'!$I$2:$I$60,"Blocked")</f>
        <v>0</v>
      </c>
      <c r="F16" s="9" t="n">
        <f aca="false">COUNTIFS('Test Cases'!$B$2:$B$60,A16,'Test Cases'!$I$2:$I$60,"Not Executed")</f>
        <v>2</v>
      </c>
    </row>
    <row r="17" customFormat="false" ht="15" hidden="false" customHeight="false" outlineLevel="0" collapsed="false">
      <c r="A17" s="9" t="s">
        <v>157</v>
      </c>
      <c r="B17" s="9" t="n">
        <f aca="false">COUNTIF('Test Cases'!$B$2:$B$60,A17)</f>
        <v>9</v>
      </c>
      <c r="C17" s="9" t="n">
        <f aca="false">COUNTIFS('Test Cases'!$B$2:$B$60,A17,'Test Cases'!$I$2:$I$60,"Pass")</f>
        <v>0</v>
      </c>
      <c r="D17" s="9" t="n">
        <f aca="false">COUNTIFS('Test Cases'!$B$2:$B$60,A17,'Test Cases'!$I$2:$I$60,"Fail")</f>
        <v>0</v>
      </c>
      <c r="E17" s="9" t="n">
        <f aca="false">COUNTIFS('Test Cases'!$B$2:$B$60,A17,'Test Cases'!$I$2:$I$60,"Blocked")</f>
        <v>0</v>
      </c>
      <c r="F17" s="9" t="n">
        <f aca="false">COUNTIFS('Test Cases'!$B$2:$B$60,A17,'Test Cases'!$I$2:$I$60,"Not Executed")</f>
        <v>9</v>
      </c>
    </row>
    <row r="18" customFormat="false" ht="15" hidden="false" customHeight="false" outlineLevel="0" collapsed="false">
      <c r="A18" s="9" t="s">
        <v>205</v>
      </c>
      <c r="B18" s="9" t="n">
        <f aca="false">COUNTIF('Test Cases'!$B$2:$B$60,A18)</f>
        <v>10</v>
      </c>
      <c r="C18" s="9" t="n">
        <f aca="false">COUNTIFS('Test Cases'!$B$2:$B$60,A18,'Test Cases'!$I$2:$I$60,"Pass")</f>
        <v>0</v>
      </c>
      <c r="D18" s="9" t="n">
        <f aca="false">COUNTIFS('Test Cases'!$B$2:$B$60,A18,'Test Cases'!$I$2:$I$60,"Fail")</f>
        <v>0</v>
      </c>
      <c r="E18" s="9" t="n">
        <f aca="false">COUNTIFS('Test Cases'!$B$2:$B$60,A18,'Test Cases'!$I$2:$I$60,"Blocked")</f>
        <v>0</v>
      </c>
      <c r="F18" s="9" t="n">
        <f aca="false">COUNTIFS('Test Cases'!$B$2:$B$60,A18,'Test Cases'!$I$2:$I$60,"Not Executed")</f>
        <v>10</v>
      </c>
    </row>
    <row r="19" customFormat="false" ht="15" hidden="false" customHeight="false" outlineLevel="0" collapsed="false">
      <c r="A19" s="9" t="s">
        <v>259</v>
      </c>
      <c r="B19" s="9" t="n">
        <f aca="false">COUNTIF('Test Cases'!$B$2:$B$60,A19)</f>
        <v>9</v>
      </c>
      <c r="C19" s="9" t="n">
        <f aca="false">COUNTIFS('Test Cases'!$B$2:$B$60,A19,'Test Cases'!$I$2:$I$60,"Pass")</f>
        <v>0</v>
      </c>
      <c r="D19" s="9" t="n">
        <f aca="false">COUNTIFS('Test Cases'!$B$2:$B$60,A19,'Test Cases'!$I$2:$I$60,"Fail")</f>
        <v>0</v>
      </c>
      <c r="E19" s="9" t="n">
        <f aca="false">COUNTIFS('Test Cases'!$B$2:$B$60,A19,'Test Cases'!$I$2:$I$60,"Blocked")</f>
        <v>0</v>
      </c>
      <c r="F19" s="9" t="n">
        <f aca="false">COUNTIFS('Test Cases'!$B$2:$B$60,A19,'Test Cases'!$I$2:$I$60,"Not Executed")</f>
        <v>9</v>
      </c>
    </row>
    <row r="20" customFormat="false" ht="15" hidden="false" customHeight="false" outlineLevel="0" collapsed="false">
      <c r="A20" s="9" t="s">
        <v>310</v>
      </c>
      <c r="B20" s="9" t="n">
        <f aca="false">COUNTIF('Test Cases'!$B$2:$B$60,A20)</f>
        <v>6</v>
      </c>
      <c r="C20" s="9" t="n">
        <f aca="false">COUNTIFS('Test Cases'!$B$2:$B$60,A20,'Test Cases'!$I$2:$I$60,"Pass")</f>
        <v>0</v>
      </c>
      <c r="D20" s="9" t="n">
        <f aca="false">COUNTIFS('Test Cases'!$B$2:$B$60,A20,'Test Cases'!$I$2:$I$60,"Fail")</f>
        <v>0</v>
      </c>
      <c r="E20" s="9" t="n">
        <f aca="false">COUNTIFS('Test Cases'!$B$2:$B$60,A20,'Test Cases'!$I$2:$I$60,"Blocked")</f>
        <v>0</v>
      </c>
      <c r="F20" s="9" t="n">
        <f aca="false">COUNTIFS('Test Cases'!$B$2:$B$60,A20,'Test Cases'!$I$2:$I$60,"Not Executed")</f>
        <v>6</v>
      </c>
    </row>
    <row r="21" customFormat="false" ht="15" hidden="false" customHeight="false" outlineLevel="0" collapsed="false">
      <c r="A21" s="9" t="s">
        <v>341</v>
      </c>
      <c r="B21" s="9" t="n">
        <f aca="false">COUNTIF('Test Cases'!$B$2:$B$60,A21)</f>
        <v>4</v>
      </c>
      <c r="C21" s="9" t="n">
        <f aca="false">COUNTIFS('Test Cases'!$B$2:$B$60,A21,'Test Cases'!$I$2:$I$60,"Pass")</f>
        <v>0</v>
      </c>
      <c r="D21" s="9" t="n">
        <f aca="false">COUNTIFS('Test Cases'!$B$2:$B$60,A21,'Test Cases'!$I$2:$I$60,"Fail")</f>
        <v>0</v>
      </c>
      <c r="E21" s="9" t="n">
        <f aca="false">COUNTIFS('Test Cases'!$B$2:$B$60,A21,'Test Cases'!$I$2:$I$60,"Blocked")</f>
        <v>0</v>
      </c>
      <c r="F21" s="9" t="n">
        <f aca="false">COUNTIFS('Test Cases'!$B$2:$B$60,A21,'Test Cases'!$I$2:$I$60,"Not Executed")</f>
        <v>4</v>
      </c>
    </row>
    <row r="22" customFormat="false" ht="15" hidden="false" customHeight="false" outlineLevel="0" collapsed="false">
      <c r="A22" s="11" t="s">
        <v>409</v>
      </c>
      <c r="B22" s="11" t="n">
        <f aca="false">SUM(B14:B21)</f>
        <v>59</v>
      </c>
      <c r="C22" s="11" t="n">
        <f aca="false">SUM(C14:C21)</f>
        <v>0</v>
      </c>
      <c r="D22" s="11" t="n">
        <f aca="false">SUM(D14:D21)</f>
        <v>0</v>
      </c>
      <c r="E22" s="11" t="n">
        <f aca="false">SUM(E14:E21)</f>
        <v>0</v>
      </c>
      <c r="F22" s="11" t="n">
        <f aca="false">SUM(F14:F21)</f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2026-10-29T06:38:04Z</dcterms:created>
  <dc:creator>openpyxl</dc:creator>
  <dc:description/>
  <dc:language>en-US</dc:language>
  <cp:lastModifiedBy/>
  <dcterms:modified xsi:type="dcterms:W3CDTF">2026-10-29T06:38:05Z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